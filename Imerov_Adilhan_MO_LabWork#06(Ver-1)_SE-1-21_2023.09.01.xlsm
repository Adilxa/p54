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24226"/>
  <mc:AlternateContent xmlns:mc="http://schemas.openxmlformats.org/markup-compatibility/2006">
    <mc:Choice Requires="x15">
      <x15ac:absPath xmlns:x15ac="http://schemas.microsoft.com/office/spreadsheetml/2010/11/ac" url="C:\Users\boss-\OneDrive\Рабочий стол\"/>
    </mc:Choice>
  </mc:AlternateContent>
  <bookViews>
    <workbookView xWindow="-15" yWindow="4710" windowWidth="15330" windowHeight="4770" firstSheet="2" activeTab="5"/>
  </bookViews>
  <sheets>
    <sheet name="sheet1" sheetId="1" r:id="rId1"/>
    <sheet name="FindingMax" sheetId="6" r:id="rId2"/>
    <sheet name="FindingMin" sheetId="2" r:id="rId3"/>
    <sheet name="sheet3" sheetId="3" r:id="rId4"/>
    <sheet name="sheet4" sheetId="4" r:id="rId5"/>
    <sheet name="sheet5" sheetId="5" r:id="rId6"/>
  </sheets>
  <calcPr calcId="162913" iterate="1"/>
</workbook>
</file>

<file path=xl/calcChain.xml><?xml version="1.0" encoding="utf-8"?>
<calcChain xmlns="http://schemas.openxmlformats.org/spreadsheetml/2006/main">
  <c r="J18" i="4" l="1"/>
  <c r="J19" i="4" s="1"/>
  <c r="H27" i="5" l="1"/>
  <c r="F7" i="3"/>
  <c r="J93" i="5" l="1"/>
  <c r="K29" i="1" l="1"/>
  <c r="J29" i="1" s="1"/>
  <c r="I29" i="1"/>
  <c r="K28" i="1"/>
  <c r="J28" i="1" s="1"/>
  <c r="I28" i="1"/>
  <c r="K27" i="1"/>
  <c r="J27" i="1"/>
  <c r="I27" i="1"/>
  <c r="K26" i="1"/>
  <c r="J26" i="1"/>
  <c r="I26" i="1"/>
  <c r="K25" i="1"/>
  <c r="J25" i="1" s="1"/>
  <c r="I25" i="1"/>
  <c r="K24" i="1"/>
  <c r="J24" i="1"/>
  <c r="I24" i="1"/>
  <c r="K23" i="1"/>
  <c r="J23" i="1" s="1"/>
  <c r="I23" i="1"/>
  <c r="K22" i="1"/>
  <c r="J22" i="1" s="1"/>
  <c r="I22" i="1"/>
  <c r="K21" i="1"/>
  <c r="J21" i="1" s="1"/>
  <c r="I21" i="1"/>
  <c r="K20" i="1"/>
  <c r="J20" i="1" s="1"/>
  <c r="I20" i="1"/>
  <c r="K19" i="1"/>
  <c r="J19" i="1"/>
  <c r="I19" i="1"/>
  <c r="K18" i="1"/>
  <c r="J18" i="1"/>
  <c r="I18" i="1"/>
  <c r="K17" i="1"/>
  <c r="J17" i="1" s="1"/>
  <c r="I17" i="1"/>
  <c r="K16" i="1"/>
  <c r="J16" i="1"/>
  <c r="I16" i="1"/>
  <c r="K15" i="1"/>
  <c r="J15" i="1" s="1"/>
  <c r="I15" i="1"/>
  <c r="K14" i="1"/>
  <c r="J14" i="1" s="1"/>
  <c r="I14" i="1"/>
  <c r="K13" i="1"/>
  <c r="J13" i="1" s="1"/>
  <c r="I13" i="1"/>
  <c r="K12" i="1"/>
  <c r="J12" i="1" s="1"/>
  <c r="I12" i="1"/>
  <c r="K11" i="1"/>
  <c r="J11" i="1"/>
  <c r="I11" i="1"/>
  <c r="K10" i="1"/>
  <c r="J10" i="1"/>
  <c r="I10" i="1"/>
  <c r="K9" i="1"/>
  <c r="J9" i="1" s="1"/>
  <c r="I9" i="1"/>
  <c r="K8" i="1"/>
  <c r="J8" i="1"/>
  <c r="I8" i="1"/>
  <c r="K7" i="1"/>
  <c r="J7" i="1" s="1"/>
  <c r="I7" i="1"/>
  <c r="K6" i="1"/>
  <c r="J6" i="1" s="1"/>
  <c r="I6" i="1"/>
  <c r="K5" i="1"/>
  <c r="J5" i="1" s="1"/>
  <c r="I5" i="1"/>
  <c r="K4" i="1"/>
  <c r="J4" i="1" s="1"/>
  <c r="I4" i="1"/>
  <c r="M5" i="4" l="1"/>
  <c r="J5" i="4"/>
  <c r="J92" i="5" l="1"/>
  <c r="J91" i="5" s="1"/>
  <c r="J90" i="5" s="1"/>
  <c r="J89" i="5" s="1"/>
  <c r="J88" i="5" s="1"/>
  <c r="J87" i="5" s="1"/>
  <c r="J86" i="5" s="1"/>
  <c r="J85" i="5" s="1"/>
  <c r="J84" i="5" s="1"/>
  <c r="J83" i="5" s="1"/>
  <c r="M5" i="6"/>
  <c r="O5" i="6"/>
  <c r="G5" i="6" s="1"/>
  <c r="B5" i="6"/>
  <c r="D5" i="6"/>
  <c r="D6" i="6"/>
  <c r="M5" i="2"/>
  <c r="O5" i="2"/>
  <c r="G5" i="2" s="1"/>
  <c r="B5" i="2"/>
  <c r="C5" i="2" s="1"/>
  <c r="D5" i="2"/>
  <c r="D6" i="2" s="1"/>
  <c r="H28" i="5"/>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K174" i="5"/>
  <c r="K175" i="5"/>
  <c r="K176" i="5"/>
  <c r="K177" i="5"/>
  <c r="K178" i="5"/>
  <c r="K179" i="5"/>
  <c r="K180" i="5"/>
  <c r="K181" i="5"/>
  <c r="K182" i="5"/>
  <c r="K153" i="5"/>
  <c r="K154" i="5"/>
  <c r="K155" i="5"/>
  <c r="K156" i="5"/>
  <c r="K157" i="5"/>
  <c r="K158" i="5"/>
  <c r="K159" i="5"/>
  <c r="K160" i="5"/>
  <c r="K161" i="5"/>
  <c r="K162" i="5"/>
  <c r="K163" i="5"/>
  <c r="K164" i="5"/>
  <c r="K165" i="5"/>
  <c r="K166" i="5"/>
  <c r="K167" i="5"/>
  <c r="K168" i="5"/>
  <c r="K169" i="5"/>
  <c r="K170" i="5"/>
  <c r="K171" i="5"/>
  <c r="K172" i="5"/>
  <c r="K173" i="5"/>
  <c r="K152" i="5"/>
  <c r="K151" i="5"/>
  <c r="K150" i="5"/>
  <c r="K149" i="5"/>
  <c r="K148" i="5"/>
  <c r="K147" i="5"/>
  <c r="K146" i="5"/>
  <c r="K145" i="5"/>
  <c r="K144" i="5"/>
  <c r="K143" i="5"/>
  <c r="K142" i="5"/>
  <c r="K141" i="5"/>
  <c r="K140" i="5"/>
  <c r="K139" i="5"/>
  <c r="K138" i="5"/>
  <c r="K137" i="5"/>
  <c r="K136" i="5"/>
  <c r="K135" i="5"/>
  <c r="K134" i="5"/>
  <c r="K133" i="5"/>
  <c r="K132" i="5"/>
  <c r="K131" i="5"/>
  <c r="K130" i="5"/>
  <c r="K129" i="5"/>
  <c r="K128" i="5"/>
  <c r="K127" i="5"/>
  <c r="K126" i="5"/>
  <c r="K125" i="5"/>
  <c r="K124"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K26" i="5"/>
  <c r="K22" i="5"/>
  <c r="K21" i="5"/>
  <c r="K20" i="5"/>
  <c r="K19" i="5"/>
  <c r="K18" i="5"/>
  <c r="K17" i="5"/>
  <c r="K16" i="5"/>
  <c r="K15" i="5"/>
  <c r="K14" i="5"/>
  <c r="K13" i="5"/>
  <c r="K12" i="5"/>
  <c r="B6" i="2"/>
  <c r="M6" i="6"/>
  <c r="N6" i="6" s="1"/>
  <c r="N5" i="6"/>
  <c r="M7" i="6" l="1"/>
  <c r="J82" i="5"/>
  <c r="J81" i="5" s="1"/>
  <c r="K83" i="5"/>
  <c r="C6" i="2"/>
  <c r="F6" i="2"/>
  <c r="M6" i="2"/>
  <c r="N5" i="2"/>
  <c r="B6" i="6"/>
  <c r="C5" i="6"/>
  <c r="K84" i="5"/>
  <c r="H53" i="5"/>
  <c r="H54" i="5" s="1"/>
  <c r="H55" i="5" s="1"/>
  <c r="H56" i="5" s="1"/>
  <c r="K82" i="5" l="1"/>
  <c r="M8" i="6"/>
  <c r="N7" i="6"/>
  <c r="H57" i="5"/>
  <c r="H58" i="5" s="1"/>
  <c r="H59" i="5" s="1"/>
  <c r="L5" i="4"/>
  <c r="D7" i="2"/>
  <c r="B7" i="2" s="1"/>
  <c r="M7" i="2"/>
  <c r="N6" i="2"/>
  <c r="C6" i="6"/>
  <c r="F6" i="6"/>
  <c r="K81" i="5"/>
  <c r="J80" i="5"/>
  <c r="J79" i="5" s="1"/>
  <c r="J78" i="5" s="1"/>
  <c r="J77" i="5" s="1"/>
  <c r="J76" i="5" s="1"/>
  <c r="J75" i="5" s="1"/>
  <c r="J74" i="5" s="1"/>
  <c r="K85" i="5"/>
  <c r="N8" i="6" l="1"/>
  <c r="M9" i="6"/>
  <c r="F7" i="2"/>
  <c r="C7" i="2"/>
  <c r="N7" i="2"/>
  <c r="M8" i="2"/>
  <c r="D7" i="6"/>
  <c r="B7" i="6" s="1"/>
  <c r="K75" i="5"/>
  <c r="J73" i="5"/>
  <c r="K74" i="5"/>
  <c r="K86" i="5"/>
  <c r="K76" i="5"/>
  <c r="M10" i="6" l="1"/>
  <c r="N9" i="6"/>
  <c r="F7" i="6"/>
  <c r="C7" i="6"/>
  <c r="N8" i="2"/>
  <c r="M9" i="2"/>
  <c r="D8" i="2"/>
  <c r="B8" i="2" s="1"/>
  <c r="J72" i="5"/>
  <c r="K73" i="5"/>
  <c r="K87" i="5"/>
  <c r="K77" i="5"/>
  <c r="N10" i="6" l="1"/>
  <c r="M11" i="6"/>
  <c r="M10" i="2"/>
  <c r="N9" i="2"/>
  <c r="D8" i="6"/>
  <c r="B8" i="6" s="1"/>
  <c r="C8" i="2"/>
  <c r="F8" i="2"/>
  <c r="J71" i="5"/>
  <c r="K72" i="5"/>
  <c r="K88" i="5"/>
  <c r="K78" i="5"/>
  <c r="N11" i="6" l="1"/>
  <c r="M12" i="6"/>
  <c r="C8" i="6"/>
  <c r="F8" i="6"/>
  <c r="D9" i="2"/>
  <c r="B9" i="2" s="1"/>
  <c r="M11" i="2"/>
  <c r="N10" i="2"/>
  <c r="J70" i="5"/>
  <c r="K71" i="5"/>
  <c r="K89" i="5"/>
  <c r="K79" i="5"/>
  <c r="N12" i="6" l="1"/>
  <c r="M13" i="6"/>
  <c r="C9" i="2"/>
  <c r="F9" i="2"/>
  <c r="N11" i="2"/>
  <c r="M12" i="2"/>
  <c r="D9" i="6"/>
  <c r="B9" i="6" s="1"/>
  <c r="J69" i="5"/>
  <c r="K70" i="5"/>
  <c r="K90" i="5"/>
  <c r="K80" i="5"/>
  <c r="N13" i="6" l="1"/>
  <c r="M14" i="6"/>
  <c r="C9" i="6"/>
  <c r="F9" i="6"/>
  <c r="N12" i="2"/>
  <c r="M13" i="2"/>
  <c r="D10" i="2"/>
  <c r="B10" i="2" s="1"/>
  <c r="J68" i="5"/>
  <c r="K69" i="5"/>
  <c r="K91" i="5"/>
  <c r="M15" i="6" l="1"/>
  <c r="N14" i="6"/>
  <c r="C10" i="2"/>
  <c r="F10" i="2"/>
  <c r="M14" i="2"/>
  <c r="N13" i="2"/>
  <c r="D10" i="6"/>
  <c r="B10" i="6" s="1"/>
  <c r="J67" i="5"/>
  <c r="K68" i="5"/>
  <c r="K92" i="5"/>
  <c r="N15" i="6" l="1"/>
  <c r="M16" i="6"/>
  <c r="F10" i="6"/>
  <c r="C10" i="6"/>
  <c r="N14" i="2"/>
  <c r="M15" i="2"/>
  <c r="D11" i="2"/>
  <c r="B11" i="2" s="1"/>
  <c r="J66" i="5"/>
  <c r="K67" i="5"/>
  <c r="K93" i="5"/>
  <c r="J94" i="5"/>
  <c r="J95" i="5" s="1"/>
  <c r="J96" i="5" s="1"/>
  <c r="J97" i="5" s="1"/>
  <c r="J98" i="5" s="1"/>
  <c r="J99" i="5" s="1"/>
  <c r="J100" i="5" s="1"/>
  <c r="J101" i="5" s="1"/>
  <c r="J102" i="5" s="1"/>
  <c r="J103" i="5" s="1"/>
  <c r="J104" i="5" s="1"/>
  <c r="J105" i="5" s="1"/>
  <c r="J106" i="5" s="1"/>
  <c r="J107" i="5" s="1"/>
  <c r="J108" i="5" s="1"/>
  <c r="J109" i="5" s="1"/>
  <c r="J110" i="5" s="1"/>
  <c r="J111" i="5" s="1"/>
  <c r="J112" i="5" s="1"/>
  <c r="J113" i="5" s="1"/>
  <c r="J114" i="5" s="1"/>
  <c r="J115" i="5" s="1"/>
  <c r="J116" i="5" s="1"/>
  <c r="J117" i="5" s="1"/>
  <c r="J118" i="5" s="1"/>
  <c r="J119" i="5" s="1"/>
  <c r="J120" i="5" s="1"/>
  <c r="N16" i="6" l="1"/>
  <c r="M17" i="6"/>
  <c r="C11" i="2"/>
  <c r="F11" i="2"/>
  <c r="D11" i="6"/>
  <c r="B11" i="6" s="1"/>
  <c r="N15" i="2"/>
  <c r="M16" i="2"/>
  <c r="J65" i="5"/>
  <c r="K66" i="5"/>
  <c r="K94" i="5"/>
  <c r="M18" i="6" l="1"/>
  <c r="N17" i="6"/>
  <c r="C11" i="6"/>
  <c r="F11" i="6"/>
  <c r="N16" i="2"/>
  <c r="M17" i="2"/>
  <c r="D12" i="2"/>
  <c r="B12" i="2" s="1"/>
  <c r="J64" i="5"/>
  <c r="K65" i="5"/>
  <c r="K95" i="5"/>
  <c r="N18" i="6" l="1"/>
  <c r="M19" i="6"/>
  <c r="F12" i="2"/>
  <c r="C12" i="2"/>
  <c r="M18" i="2"/>
  <c r="N17" i="2"/>
  <c r="D12" i="6"/>
  <c r="B12" i="6" s="1"/>
  <c r="J63" i="5"/>
  <c r="K5" i="4" s="1"/>
  <c r="K64" i="5"/>
  <c r="K96" i="5"/>
  <c r="N19" i="6" l="1"/>
  <c r="M20" i="6"/>
  <c r="F12" i="6"/>
  <c r="C12" i="6"/>
  <c r="D13" i="2"/>
  <c r="B13" i="2" s="1"/>
  <c r="M19" i="2"/>
  <c r="N18" i="2"/>
  <c r="K63" i="5"/>
  <c r="K97" i="5"/>
  <c r="M21" i="6" l="1"/>
  <c r="N20" i="6"/>
  <c r="F13" i="2"/>
  <c r="C13" i="2"/>
  <c r="D13" i="6"/>
  <c r="B13" i="6" s="1"/>
  <c r="M20" i="2"/>
  <c r="N19" i="2"/>
  <c r="K98" i="5"/>
  <c r="M22" i="6" l="1"/>
  <c r="N21" i="6"/>
  <c r="C13" i="6"/>
  <c r="F13" i="6"/>
  <c r="D14" i="2"/>
  <c r="B14" i="2" s="1"/>
  <c r="N20" i="2"/>
  <c r="M21" i="2"/>
  <c r="K99" i="5"/>
  <c r="M23" i="6" l="1"/>
  <c r="N22" i="6"/>
  <c r="F14" i="2"/>
  <c r="C14" i="2"/>
  <c r="N21" i="2"/>
  <c r="M22" i="2"/>
  <c r="D14" i="6"/>
  <c r="B14" i="6" s="1"/>
  <c r="K100" i="5"/>
  <c r="M24" i="6" l="1"/>
  <c r="N23" i="6"/>
  <c r="M23" i="2"/>
  <c r="N22" i="2"/>
  <c r="F14" i="6"/>
  <c r="C14" i="6"/>
  <c r="D15" i="2"/>
  <c r="B15" i="2" s="1"/>
  <c r="K101" i="5"/>
  <c r="N24" i="6" l="1"/>
  <c r="M25" i="6"/>
  <c r="C15" i="2"/>
  <c r="F15" i="2"/>
  <c r="D15" i="6"/>
  <c r="B15" i="6" s="1"/>
  <c r="N23" i="2"/>
  <c r="M24" i="2"/>
  <c r="K102" i="5"/>
  <c r="M26" i="6" l="1"/>
  <c r="N25" i="6"/>
  <c r="N24" i="2"/>
  <c r="M25" i="2"/>
  <c r="F15" i="6"/>
  <c r="C15" i="6"/>
  <c r="D16" i="2"/>
  <c r="B16" i="2"/>
  <c r="K103" i="5"/>
  <c r="M27" i="6" l="1"/>
  <c r="N26" i="6"/>
  <c r="D16" i="6"/>
  <c r="B16" i="6"/>
  <c r="M26" i="2"/>
  <c r="N25" i="2"/>
  <c r="C16" i="2"/>
  <c r="F16" i="2"/>
  <c r="K104" i="5"/>
  <c r="N27" i="6" l="1"/>
  <c r="M28" i="6"/>
  <c r="N26" i="2"/>
  <c r="M27" i="2"/>
  <c r="C16" i="6"/>
  <c r="F16" i="6"/>
  <c r="D17" i="2"/>
  <c r="B17" i="2" s="1"/>
  <c r="K105" i="5"/>
  <c r="N28" i="6" l="1"/>
  <c r="M29" i="6"/>
  <c r="C17" i="2"/>
  <c r="F17" i="2"/>
  <c r="D17" i="6"/>
  <c r="B17" i="6" s="1"/>
  <c r="M28" i="2"/>
  <c r="N27" i="2"/>
  <c r="K106" i="5"/>
  <c r="M30" i="6" l="1"/>
  <c r="N29" i="6"/>
  <c r="C17" i="6"/>
  <c r="F17" i="6"/>
  <c r="N28" i="2"/>
  <c r="M29" i="2"/>
  <c r="D18" i="2"/>
  <c r="B18" i="2" s="1"/>
  <c r="K107" i="5"/>
  <c r="M31" i="6" l="1"/>
  <c r="N30" i="6"/>
  <c r="C18" i="2"/>
  <c r="F18" i="2"/>
  <c r="M30" i="2"/>
  <c r="N29" i="2"/>
  <c r="D18" i="6"/>
  <c r="B18" i="6" s="1"/>
  <c r="K108" i="5"/>
  <c r="N31" i="6" l="1"/>
  <c r="M32" i="6"/>
  <c r="C18" i="6"/>
  <c r="F18" i="6"/>
  <c r="M31" i="2"/>
  <c r="N30" i="2"/>
  <c r="D19" i="2"/>
  <c r="B19" i="2"/>
  <c r="K109" i="5"/>
  <c r="N32" i="6" l="1"/>
  <c r="M33" i="6"/>
  <c r="N31" i="2"/>
  <c r="M32" i="2"/>
  <c r="C19" i="2"/>
  <c r="F19" i="2"/>
  <c r="D19" i="6"/>
  <c r="B19" i="6" s="1"/>
  <c r="K110" i="5"/>
  <c r="N33" i="6" l="1"/>
  <c r="M34" i="6"/>
  <c r="C19" i="6"/>
  <c r="F19" i="6"/>
  <c r="D20" i="2"/>
  <c r="B20" i="2" s="1"/>
  <c r="N32" i="2"/>
  <c r="M33" i="2"/>
  <c r="K111" i="5"/>
  <c r="N34" i="6" l="1"/>
  <c r="M35" i="6"/>
  <c r="C20" i="2"/>
  <c r="F20" i="2"/>
  <c r="M34" i="2"/>
  <c r="N33" i="2"/>
  <c r="D20" i="6"/>
  <c r="B20" i="6"/>
  <c r="K112" i="5"/>
  <c r="N35" i="6" l="1"/>
  <c r="M36" i="6"/>
  <c r="C20" i="6"/>
  <c r="F20" i="6"/>
  <c r="M35" i="2"/>
  <c r="N34" i="2"/>
  <c r="D21" i="2"/>
  <c r="B21" i="2" s="1"/>
  <c r="K113" i="5"/>
  <c r="M37" i="6" l="1"/>
  <c r="N36" i="6"/>
  <c r="C21" i="2"/>
  <c r="F21" i="2"/>
  <c r="N35" i="2"/>
  <c r="M36" i="2"/>
  <c r="D21" i="6"/>
  <c r="B21" i="6"/>
  <c r="K114" i="5"/>
  <c r="M38" i="6" l="1"/>
  <c r="N37" i="6"/>
  <c r="C21" i="6"/>
  <c r="F21" i="6"/>
  <c r="M37" i="2"/>
  <c r="N36" i="2"/>
  <c r="D22" i="2"/>
  <c r="B22" i="2"/>
  <c r="K115" i="5"/>
  <c r="N38" i="6" l="1"/>
  <c r="M39" i="6"/>
  <c r="M38" i="2"/>
  <c r="N37" i="2"/>
  <c r="C22" i="2"/>
  <c r="F22" i="2"/>
  <c r="D22" i="6"/>
  <c r="B22" i="6" s="1"/>
  <c r="K116" i="5"/>
  <c r="M40" i="6" l="1"/>
  <c r="N39" i="6"/>
  <c r="C22" i="6"/>
  <c r="F22" i="6"/>
  <c r="M39" i="2"/>
  <c r="N38" i="2"/>
  <c r="D23" i="2"/>
  <c r="B23" i="2" s="1"/>
  <c r="K117" i="5"/>
  <c r="M41" i="6" l="1"/>
  <c r="N40" i="6"/>
  <c r="C23" i="2"/>
  <c r="F23" i="2"/>
  <c r="D23" i="6"/>
  <c r="B23" i="6"/>
  <c r="N39" i="2"/>
  <c r="M40" i="2"/>
  <c r="K118" i="5"/>
  <c r="M42" i="6" l="1"/>
  <c r="N41" i="6"/>
  <c r="N40" i="2"/>
  <c r="M41" i="2"/>
  <c r="C23" i="6"/>
  <c r="F23" i="6"/>
  <c r="D24" i="2"/>
  <c r="B24" i="2"/>
  <c r="K119" i="5"/>
  <c r="K120" i="5"/>
  <c r="E7" i="3"/>
  <c r="M43" i="6" l="1"/>
  <c r="N42" i="6"/>
  <c r="M42" i="2"/>
  <c r="N41" i="2"/>
  <c r="C24" i="2"/>
  <c r="F24" i="2"/>
  <c r="D24" i="6"/>
  <c r="B24" i="6" s="1"/>
  <c r="M44" i="6" l="1"/>
  <c r="N43" i="6"/>
  <c r="D25" i="2"/>
  <c r="B25" i="2" s="1"/>
  <c r="N42" i="2"/>
  <c r="M43" i="2"/>
  <c r="C24" i="6"/>
  <c r="F24" i="6"/>
  <c r="N44" i="6" l="1"/>
  <c r="M45" i="6"/>
  <c r="C25" i="2"/>
  <c r="F25" i="2"/>
  <c r="D25" i="6"/>
  <c r="B25" i="6" s="1"/>
  <c r="N43" i="2"/>
  <c r="M44" i="2"/>
  <c r="N45" i="6" l="1"/>
  <c r="M46" i="6"/>
  <c r="C25" i="6"/>
  <c r="F25" i="6"/>
  <c r="D26" i="2"/>
  <c r="B26" i="2" s="1"/>
  <c r="N44" i="2"/>
  <c r="M45" i="2"/>
  <c r="N46" i="6" l="1"/>
  <c r="M47" i="6"/>
  <c r="C26" i="2"/>
  <c r="F26" i="2"/>
  <c r="M46" i="2"/>
  <c r="N45" i="2"/>
  <c r="D26" i="6"/>
  <c r="B26" i="6" s="1"/>
  <c r="M48" i="6" l="1"/>
  <c r="N47" i="6"/>
  <c r="C26" i="6"/>
  <c r="F26" i="6"/>
  <c r="M47" i="2"/>
  <c r="N46" i="2"/>
  <c r="D27" i="2"/>
  <c r="B27" i="2" s="1"/>
  <c r="N48" i="6" l="1"/>
  <c r="M49" i="6"/>
  <c r="C27" i="2"/>
  <c r="F27" i="2"/>
  <c r="M48" i="2"/>
  <c r="N47" i="2"/>
  <c r="D27" i="6"/>
  <c r="B27" i="6" s="1"/>
  <c r="M50" i="6" l="1"/>
  <c r="N49" i="6"/>
  <c r="N48" i="2"/>
  <c r="M49" i="2"/>
  <c r="C27" i="6"/>
  <c r="F27" i="6"/>
  <c r="D28" i="2"/>
  <c r="B28" i="2" s="1"/>
  <c r="M51" i="6" l="1"/>
  <c r="N50" i="6"/>
  <c r="C28" i="2"/>
  <c r="F28" i="2"/>
  <c r="D28" i="6"/>
  <c r="B28" i="6" s="1"/>
  <c r="M50" i="2"/>
  <c r="N49" i="2"/>
  <c r="M52" i="6" l="1"/>
  <c r="N51" i="6"/>
  <c r="F28" i="6"/>
  <c r="C28" i="6"/>
  <c r="N50" i="2"/>
  <c r="M51" i="2"/>
  <c r="D29" i="2"/>
  <c r="B29" i="2" s="1"/>
  <c r="N52" i="6" l="1"/>
  <c r="M53" i="6"/>
  <c r="F29" i="2"/>
  <c r="C29" i="2"/>
  <c r="N51" i="2"/>
  <c r="M52" i="2"/>
  <c r="D29" i="6"/>
  <c r="B29" i="6" s="1"/>
  <c r="M54" i="6" l="1"/>
  <c r="N53" i="6"/>
  <c r="C29" i="6"/>
  <c r="F29" i="6"/>
  <c r="D30" i="2"/>
  <c r="B30" i="2"/>
  <c r="N52" i="2"/>
  <c r="M53" i="2"/>
  <c r="M55" i="6" l="1"/>
  <c r="N54" i="6"/>
  <c r="C30" i="2"/>
  <c r="F30" i="2"/>
  <c r="M54" i="2"/>
  <c r="N53" i="2"/>
  <c r="D30" i="6"/>
  <c r="B30" i="6"/>
  <c r="M56" i="6" l="1"/>
  <c r="N55" i="6"/>
  <c r="F30" i="6"/>
  <c r="C30" i="6"/>
  <c r="M55" i="2"/>
  <c r="N54" i="2"/>
  <c r="D31" i="2"/>
  <c r="B31" i="2"/>
  <c r="N56" i="6" l="1"/>
  <c r="M57" i="6"/>
  <c r="M56" i="2"/>
  <c r="N55" i="2"/>
  <c r="C31" i="2"/>
  <c r="F31" i="2"/>
  <c r="D31" i="6"/>
  <c r="B31" i="6" s="1"/>
  <c r="M58" i="6" l="1"/>
  <c r="N57" i="6"/>
  <c r="C31" i="6"/>
  <c r="F31" i="6"/>
  <c r="D32" i="2"/>
  <c r="B32" i="2" s="1"/>
  <c r="N56" i="2"/>
  <c r="M57" i="2"/>
  <c r="N58" i="6" l="1"/>
  <c r="M59" i="6"/>
  <c r="M58" i="2"/>
  <c r="N57" i="2"/>
  <c r="F32" i="2"/>
  <c r="C32" i="2"/>
  <c r="D32" i="6"/>
  <c r="B32" i="6" s="1"/>
  <c r="N59" i="6" l="1"/>
  <c r="M60" i="6"/>
  <c r="F32" i="6"/>
  <c r="C32" i="6"/>
  <c r="D33" i="2"/>
  <c r="B33" i="2" s="1"/>
  <c r="M59" i="2"/>
  <c r="N58" i="2"/>
  <c r="G7" i="2"/>
  <c r="N60" i="6" l="1"/>
  <c r="M61" i="6"/>
  <c r="F33" i="2"/>
  <c r="C33" i="2"/>
  <c r="D33" i="6"/>
  <c r="B33" i="6" s="1"/>
  <c r="N59" i="2"/>
  <c r="M60" i="2"/>
  <c r="M62" i="6" l="1"/>
  <c r="N61" i="6"/>
  <c r="F33" i="6"/>
  <c r="C33" i="6"/>
  <c r="M61" i="2"/>
  <c r="N60" i="2"/>
  <c r="D34" i="2"/>
  <c r="B34" i="2" s="1"/>
  <c r="M63" i="6" l="1"/>
  <c r="N62" i="6"/>
  <c r="C34" i="2"/>
  <c r="F34" i="2"/>
  <c r="N61" i="2"/>
  <c r="M62" i="2"/>
  <c r="D34" i="6"/>
  <c r="B34" i="6" s="1"/>
  <c r="N63" i="6" l="1"/>
  <c r="M64" i="6"/>
  <c r="C34" i="6"/>
  <c r="F34" i="6"/>
  <c r="D35" i="2"/>
  <c r="B35" i="2" s="1"/>
  <c r="N62" i="2"/>
  <c r="M63" i="2"/>
  <c r="N64" i="6" l="1"/>
  <c r="M65" i="6"/>
  <c r="F35" i="2"/>
  <c r="C35" i="2"/>
  <c r="M64" i="2"/>
  <c r="N63" i="2"/>
  <c r="D35" i="6"/>
  <c r="B35" i="6" s="1"/>
  <c r="M66" i="6" l="1"/>
  <c r="N65" i="6"/>
  <c r="M65" i="2"/>
  <c r="N64" i="2"/>
  <c r="F35" i="6"/>
  <c r="C35" i="6"/>
  <c r="D36" i="2"/>
  <c r="B36" i="2"/>
  <c r="M67" i="6" l="1"/>
  <c r="N66" i="6"/>
  <c r="M66" i="2"/>
  <c r="N65" i="2"/>
  <c r="D36" i="6"/>
  <c r="B36" i="6"/>
  <c r="F36" i="2"/>
  <c r="C36" i="2"/>
  <c r="M68" i="6" l="1"/>
  <c r="N67" i="6"/>
  <c r="N66" i="2"/>
  <c r="M67" i="2"/>
  <c r="C36" i="6"/>
  <c r="F36" i="6"/>
  <c r="D37" i="2"/>
  <c r="B37" i="2"/>
  <c r="M69" i="6" l="1"/>
  <c r="N68" i="6"/>
  <c r="D37" i="6"/>
  <c r="B37" i="6"/>
  <c r="F37" i="2"/>
  <c r="C37" i="2"/>
  <c r="M68" i="2"/>
  <c r="N67" i="2"/>
  <c r="M70" i="6" l="1"/>
  <c r="N69" i="6"/>
  <c r="M69" i="2"/>
  <c r="N68" i="2"/>
  <c r="C37" i="6"/>
  <c r="F37" i="6"/>
  <c r="B38" i="2"/>
  <c r="D38" i="2"/>
  <c r="M71" i="6" l="1"/>
  <c r="N70" i="6"/>
  <c r="M70" i="2"/>
  <c r="N69" i="2"/>
  <c r="D38" i="6"/>
  <c r="B38" i="6" s="1"/>
  <c r="F38" i="2"/>
  <c r="C38" i="2"/>
  <c r="M72" i="6" l="1"/>
  <c r="N71" i="6"/>
  <c r="F38" i="6"/>
  <c r="C38" i="6"/>
  <c r="N70" i="2"/>
  <c r="M71" i="2"/>
  <c r="B39" i="2"/>
  <c r="D39" i="2"/>
  <c r="M73" i="6" l="1"/>
  <c r="N72" i="6"/>
  <c r="C39" i="2"/>
  <c r="F39" i="2"/>
  <c r="M72" i="2"/>
  <c r="N71" i="2"/>
  <c r="D39" i="6"/>
  <c r="B39" i="6" s="1"/>
  <c r="M74" i="6" l="1"/>
  <c r="N73" i="6"/>
  <c r="C39" i="6"/>
  <c r="F39" i="6"/>
  <c r="M73" i="2"/>
  <c r="N72" i="2"/>
  <c r="B40" i="2"/>
  <c r="D40" i="2"/>
  <c r="M75" i="6" l="1"/>
  <c r="N74" i="6"/>
  <c r="N73" i="2"/>
  <c r="M74" i="2"/>
  <c r="F40" i="2"/>
  <c r="C40" i="2"/>
  <c r="D40" i="6"/>
  <c r="B40" i="6" s="1"/>
  <c r="N75" i="6" l="1"/>
  <c r="M76" i="6"/>
  <c r="C40" i="6"/>
  <c r="F40" i="6"/>
  <c r="M75" i="2"/>
  <c r="N74" i="2"/>
  <c r="D41" i="2"/>
  <c r="B41" i="2"/>
  <c r="M77" i="6" l="1"/>
  <c r="N76" i="6"/>
  <c r="M76" i="2"/>
  <c r="N75" i="2"/>
  <c r="F41" i="2"/>
  <c r="C41" i="2"/>
  <c r="D41" i="6"/>
  <c r="B41" i="6" s="1"/>
  <c r="N77" i="6" l="1"/>
  <c r="M78" i="6"/>
  <c r="C41" i="6"/>
  <c r="F41" i="6"/>
  <c r="M77" i="2"/>
  <c r="N76" i="2"/>
  <c r="D42" i="2"/>
  <c r="B42" i="2"/>
  <c r="M79" i="6" l="1"/>
  <c r="N78" i="6"/>
  <c r="N77" i="2"/>
  <c r="M78" i="2"/>
  <c r="F42" i="2"/>
  <c r="C42" i="2"/>
  <c r="D42" i="6"/>
  <c r="B42" i="6" s="1"/>
  <c r="M80" i="6" l="1"/>
  <c r="N79" i="6"/>
  <c r="C42" i="6"/>
  <c r="F42" i="6"/>
  <c r="B43" i="2"/>
  <c r="D43" i="2"/>
  <c r="N78" i="2"/>
  <c r="M79" i="2"/>
  <c r="N80" i="6" l="1"/>
  <c r="M81" i="6"/>
  <c r="F43" i="2"/>
  <c r="C43" i="2"/>
  <c r="N79" i="2"/>
  <c r="M80" i="2"/>
  <c r="D43" i="6"/>
  <c r="B43" i="6" s="1"/>
  <c r="N81" i="6" l="1"/>
  <c r="M82" i="6"/>
  <c r="C43" i="6"/>
  <c r="F43" i="6"/>
  <c r="D44" i="2"/>
  <c r="B44" i="2"/>
  <c r="M81" i="2"/>
  <c r="N80" i="2"/>
  <c r="M83" i="6" l="1"/>
  <c r="N82" i="6"/>
  <c r="F44" i="2"/>
  <c r="C44" i="2"/>
  <c r="N81" i="2"/>
  <c r="M82" i="2"/>
  <c r="D44" i="6"/>
  <c r="B44" i="6" s="1"/>
  <c r="N83" i="6" l="1"/>
  <c r="M84" i="6"/>
  <c r="D45" i="2"/>
  <c r="B45" i="2"/>
  <c r="C44" i="6"/>
  <c r="F44" i="6"/>
  <c r="M83" i="2"/>
  <c r="N82" i="2"/>
  <c r="M85" i="6" l="1"/>
  <c r="N84" i="6"/>
  <c r="M84" i="2"/>
  <c r="N83" i="2"/>
  <c r="B45" i="6"/>
  <c r="D45" i="6"/>
  <c r="F45" i="2"/>
  <c r="C45" i="2"/>
  <c r="M86" i="6" l="1"/>
  <c r="N85" i="6"/>
  <c r="F45" i="6"/>
  <c r="C45" i="6"/>
  <c r="D46" i="2"/>
  <c r="B46" i="2"/>
  <c r="M85" i="2"/>
  <c r="N84" i="2"/>
  <c r="M87" i="6" l="1"/>
  <c r="N86" i="6"/>
  <c r="D46" i="6"/>
  <c r="B46" i="6"/>
  <c r="F46" i="2"/>
  <c r="C46" i="2"/>
  <c r="M86" i="2"/>
  <c r="N85" i="2"/>
  <c r="N87" i="6" l="1"/>
  <c r="M88" i="6"/>
  <c r="B47" i="2"/>
  <c r="D47" i="2"/>
  <c r="C46" i="6"/>
  <c r="F46" i="6"/>
  <c r="N86" i="2"/>
  <c r="M87" i="2"/>
  <c r="N88" i="6" l="1"/>
  <c r="M89" i="6"/>
  <c r="D47" i="6"/>
  <c r="B47" i="6"/>
  <c r="M88" i="2"/>
  <c r="N87" i="2"/>
  <c r="C47" i="2"/>
  <c r="F47" i="2"/>
  <c r="M90" i="6" l="1"/>
  <c r="N89" i="6"/>
  <c r="D48" i="2"/>
  <c r="B48" i="2"/>
  <c r="M89" i="2"/>
  <c r="N88" i="2"/>
  <c r="F47" i="6"/>
  <c r="C47" i="6"/>
  <c r="N90" i="6" l="1"/>
  <c r="M91" i="6"/>
  <c r="M90" i="2"/>
  <c r="N89" i="2"/>
  <c r="F48" i="2"/>
  <c r="C48" i="2"/>
  <c r="D48" i="6"/>
  <c r="B48" i="6"/>
  <c r="M92" i="6" l="1"/>
  <c r="N91" i="6"/>
  <c r="F48" i="6"/>
  <c r="C48" i="6"/>
  <c r="B49" i="2"/>
  <c r="D49" i="2"/>
  <c r="M91" i="2"/>
  <c r="N90" i="2"/>
  <c r="N92" i="6" l="1"/>
  <c r="M93" i="6"/>
  <c r="D49" i="6"/>
  <c r="B49" i="6"/>
  <c r="F49" i="2"/>
  <c r="C49" i="2"/>
  <c r="N91" i="2"/>
  <c r="M92" i="2"/>
  <c r="N93" i="6" l="1"/>
  <c r="M94" i="6"/>
  <c r="B50" i="2"/>
  <c r="D50" i="2"/>
  <c r="M93" i="2"/>
  <c r="N92" i="2"/>
  <c r="F49" i="6"/>
  <c r="C49" i="6"/>
  <c r="N94" i="6" l="1"/>
  <c r="M95" i="6"/>
  <c r="M94" i="2"/>
  <c r="N93" i="2"/>
  <c r="F50" i="2"/>
  <c r="C50" i="2"/>
  <c r="B50" i="6"/>
  <c r="D50" i="6"/>
  <c r="N95" i="6" l="1"/>
  <c r="M96" i="6"/>
  <c r="B51" i="2"/>
  <c r="D51" i="2"/>
  <c r="C50" i="6"/>
  <c r="F50" i="6"/>
  <c r="N94" i="2"/>
  <c r="M95" i="2"/>
  <c r="N96" i="6" l="1"/>
  <c r="M97" i="6"/>
  <c r="M96" i="2"/>
  <c r="N95" i="2"/>
  <c r="B51" i="6"/>
  <c r="D51" i="6"/>
  <c r="C51" i="2"/>
  <c r="F51" i="2"/>
  <c r="M98" i="6" l="1"/>
  <c r="N97" i="6"/>
  <c r="D52" i="2"/>
  <c r="B52" i="2"/>
  <c r="C51" i="6"/>
  <c r="F51" i="6"/>
  <c r="M97" i="2"/>
  <c r="N96" i="2"/>
  <c r="N98" i="6" l="1"/>
  <c r="M99" i="6"/>
  <c r="F52" i="2"/>
  <c r="C52" i="2"/>
  <c r="B52" i="6"/>
  <c r="D52" i="6"/>
  <c r="N97" i="2"/>
  <c r="M98" i="2"/>
  <c r="M100" i="6" l="1"/>
  <c r="N99" i="6"/>
  <c r="C52" i="6"/>
  <c r="F52" i="6"/>
  <c r="N98" i="2"/>
  <c r="M99" i="2"/>
  <c r="D53" i="2"/>
  <c r="B53" i="2"/>
  <c r="M101" i="6" l="1"/>
  <c r="N100" i="6"/>
  <c r="F53" i="2"/>
  <c r="C53" i="2"/>
  <c r="N99" i="2"/>
  <c r="M100" i="2"/>
  <c r="D53" i="6"/>
  <c r="B53" i="6"/>
  <c r="M102" i="6" l="1"/>
  <c r="N101" i="6"/>
  <c r="B54" i="2"/>
  <c r="D54" i="2"/>
  <c r="M101" i="2"/>
  <c r="N100" i="2"/>
  <c r="F53" i="6"/>
  <c r="C53" i="6"/>
  <c r="N102" i="6" l="1"/>
  <c r="M103" i="6"/>
  <c r="B54" i="6"/>
  <c r="D54" i="6"/>
  <c r="N101" i="2"/>
  <c r="M102" i="2"/>
  <c r="C54" i="2"/>
  <c r="F54" i="2"/>
  <c r="N103" i="6" l="1"/>
  <c r="M104" i="6"/>
  <c r="N102" i="2"/>
  <c r="M103" i="2"/>
  <c r="B55" i="2"/>
  <c r="D55" i="2"/>
  <c r="F54" i="6"/>
  <c r="C54" i="6"/>
  <c r="N104" i="6" l="1"/>
  <c r="M105" i="6"/>
  <c r="F55" i="2"/>
  <c r="C55" i="2"/>
  <c r="M104" i="2"/>
  <c r="N103" i="2"/>
  <c r="B55" i="6"/>
  <c r="D55" i="6"/>
  <c r="N105" i="6" l="1"/>
  <c r="M106" i="6"/>
  <c r="G7" i="6"/>
  <c r="M105" i="2"/>
  <c r="N104" i="2"/>
  <c r="F55" i="6"/>
  <c r="C55" i="6"/>
  <c r="D56" i="2"/>
  <c r="B56" i="2"/>
  <c r="M107" i="6" l="1"/>
  <c r="N106" i="6"/>
  <c r="C56" i="2"/>
  <c r="F56" i="2"/>
  <c r="D56" i="6"/>
  <c r="B56" i="6"/>
  <c r="M106" i="2"/>
  <c r="N105" i="2"/>
  <c r="N107" i="6" l="1"/>
  <c r="M108" i="6"/>
  <c r="F56" i="6"/>
  <c r="C56" i="6"/>
  <c r="N106" i="2"/>
  <c r="M107" i="2"/>
  <c r="D57" i="2"/>
  <c r="B57" i="2"/>
  <c r="M109" i="6" l="1"/>
  <c r="N108" i="6"/>
  <c r="N107" i="2"/>
  <c r="M108" i="2"/>
  <c r="B57" i="6"/>
  <c r="D57" i="6"/>
  <c r="C57" i="2"/>
  <c r="F57" i="2"/>
  <c r="M110" i="6" l="1"/>
  <c r="N109" i="6"/>
  <c r="N108" i="2"/>
  <c r="M109" i="2"/>
  <c r="F57" i="6"/>
  <c r="C57" i="6"/>
  <c r="B58" i="2"/>
  <c r="D58" i="2"/>
  <c r="M111" i="6" l="1"/>
  <c r="N110" i="6"/>
  <c r="C58" i="2"/>
  <c r="F58" i="2"/>
  <c r="D58" i="6"/>
  <c r="B58" i="6"/>
  <c r="N109" i="2"/>
  <c r="M110" i="2"/>
  <c r="M112" i="6" l="1"/>
  <c r="N111" i="6"/>
  <c r="M111" i="2"/>
  <c r="N110" i="2"/>
  <c r="F58" i="6"/>
  <c r="C58" i="6"/>
  <c r="D59" i="2"/>
  <c r="B59" i="2"/>
  <c r="N112" i="6" l="1"/>
  <c r="M113" i="6"/>
  <c r="C59" i="2"/>
  <c r="F59" i="2"/>
  <c r="D59" i="6"/>
  <c r="B59" i="6"/>
  <c r="M112" i="2"/>
  <c r="N111" i="2"/>
  <c r="M114" i="6" l="1"/>
  <c r="N113" i="6"/>
  <c r="C59" i="6"/>
  <c r="F59" i="6"/>
  <c r="D60" i="2"/>
  <c r="B60" i="2"/>
  <c r="N112" i="2"/>
  <c r="M113" i="2"/>
  <c r="N114" i="6" l="1"/>
  <c r="M115" i="6"/>
  <c r="D60" i="6"/>
  <c r="B60" i="6"/>
  <c r="C60" i="2"/>
  <c r="F60" i="2"/>
  <c r="N113" i="2"/>
  <c r="M114" i="2"/>
  <c r="M116" i="6" l="1"/>
  <c r="N115" i="6"/>
  <c r="B61" i="2"/>
  <c r="D61" i="2"/>
  <c r="F60" i="6"/>
  <c r="C60" i="6"/>
  <c r="N114" i="2"/>
  <c r="M115" i="2"/>
  <c r="N116" i="6" l="1"/>
  <c r="M117" i="6"/>
  <c r="B61" i="6"/>
  <c r="D61" i="6"/>
  <c r="N115" i="2"/>
  <c r="M116" i="2"/>
  <c r="C61" i="2"/>
  <c r="F61" i="2"/>
  <c r="N117" i="6" l="1"/>
  <c r="M118" i="6"/>
  <c r="N116" i="2"/>
  <c r="M117" i="2"/>
  <c r="D62" i="2"/>
  <c r="B62" i="2"/>
  <c r="C61" i="6"/>
  <c r="F61" i="6"/>
  <c r="N118" i="6" l="1"/>
  <c r="M119" i="6"/>
  <c r="N117" i="2"/>
  <c r="M118" i="2"/>
  <c r="F62" i="2"/>
  <c r="C62" i="2"/>
  <c r="B62" i="6"/>
  <c r="D62" i="6"/>
  <c r="M120" i="6" l="1"/>
  <c r="N119" i="6"/>
  <c r="C62" i="6"/>
  <c r="F62" i="6"/>
  <c r="M119" i="2"/>
  <c r="N118" i="2"/>
  <c r="B63" i="2"/>
  <c r="D63" i="2"/>
  <c r="M121" i="6" l="1"/>
  <c r="N120" i="6"/>
  <c r="N119" i="2"/>
  <c r="M120" i="2"/>
  <c r="F63" i="2"/>
  <c r="C63" i="2"/>
  <c r="D63" i="6"/>
  <c r="B63" i="6"/>
  <c r="M122" i="6" l="1"/>
  <c r="N121" i="6"/>
  <c r="N120" i="2"/>
  <c r="M121" i="2"/>
  <c r="D64" i="2"/>
  <c r="B64" i="2"/>
  <c r="C63" i="6"/>
  <c r="F63" i="6"/>
  <c r="N122" i="6" l="1"/>
  <c r="M123" i="6"/>
  <c r="B64" i="6"/>
  <c r="D64" i="6"/>
  <c r="C64" i="2"/>
  <c r="F64" i="2"/>
  <c r="N121" i="2"/>
  <c r="M122" i="2"/>
  <c r="M124" i="6" l="1"/>
  <c r="N123" i="6"/>
  <c r="N122" i="2"/>
  <c r="M123" i="2"/>
  <c r="B65" i="2"/>
  <c r="D65" i="2"/>
  <c r="C64" i="6"/>
  <c r="F64" i="6"/>
  <c r="M125" i="6" l="1"/>
  <c r="N124" i="6"/>
  <c r="C65" i="2"/>
  <c r="F65" i="2"/>
  <c r="D65" i="6"/>
  <c r="B65" i="6"/>
  <c r="N123" i="2"/>
  <c r="M124" i="2"/>
  <c r="M126" i="6" l="1"/>
  <c r="N125" i="6"/>
  <c r="M125" i="2"/>
  <c r="N124" i="2"/>
  <c r="C65" i="6"/>
  <c r="F65" i="6"/>
  <c r="B66" i="2"/>
  <c r="D66" i="2"/>
  <c r="N126" i="6" l="1"/>
  <c r="M127" i="6"/>
  <c r="M126" i="2"/>
  <c r="N125" i="2"/>
  <c r="D66" i="6"/>
  <c r="B66" i="6"/>
  <c r="C66" i="2"/>
  <c r="F66" i="2"/>
  <c r="M128" i="6" l="1"/>
  <c r="N127" i="6"/>
  <c r="C66" i="6"/>
  <c r="F66" i="6"/>
  <c r="M127" i="2"/>
  <c r="N126" i="2"/>
  <c r="B67" i="2"/>
  <c r="D67" i="2"/>
  <c r="N128" i="6" l="1"/>
  <c r="M129" i="6"/>
  <c r="N127" i="2"/>
  <c r="M128" i="2"/>
  <c r="F67" i="2"/>
  <c r="C67" i="2"/>
  <c r="D67" i="6"/>
  <c r="B67" i="6"/>
  <c r="M130" i="6" l="1"/>
  <c r="N129" i="6"/>
  <c r="B68" i="2"/>
  <c r="D68" i="2"/>
  <c r="C67" i="6"/>
  <c r="F67" i="6"/>
  <c r="N128" i="2"/>
  <c r="M129" i="2"/>
  <c r="M131" i="6" l="1"/>
  <c r="N130" i="6"/>
  <c r="B68" i="6"/>
  <c r="D68" i="6"/>
  <c r="M130" i="2"/>
  <c r="N129" i="2"/>
  <c r="F68" i="2"/>
  <c r="C68" i="2"/>
  <c r="M132" i="6" l="1"/>
  <c r="N131" i="6"/>
  <c r="F68" i="6"/>
  <c r="C68" i="6"/>
  <c r="N130" i="2"/>
  <c r="M131" i="2"/>
  <c r="B69" i="2"/>
  <c r="D69" i="2"/>
  <c r="M133" i="6" l="1"/>
  <c r="N132" i="6"/>
  <c r="N131" i="2"/>
  <c r="M132" i="2"/>
  <c r="F69" i="2"/>
  <c r="C69" i="2"/>
  <c r="D69" i="6"/>
  <c r="B69" i="6"/>
  <c r="N133" i="6" l="1"/>
  <c r="M134" i="6"/>
  <c r="D70" i="2"/>
  <c r="B70" i="2"/>
  <c r="F69" i="6"/>
  <c r="C69" i="6"/>
  <c r="M133" i="2"/>
  <c r="N132" i="2"/>
  <c r="M135" i="6" l="1"/>
  <c r="N134" i="6"/>
  <c r="N133" i="2"/>
  <c r="M134" i="2"/>
  <c r="F70" i="2"/>
  <c r="C70" i="2"/>
  <c r="D70" i="6"/>
  <c r="B70" i="6"/>
  <c r="M136" i="6" l="1"/>
  <c r="N135" i="6"/>
  <c r="M135" i="2"/>
  <c r="N134" i="2"/>
  <c r="D71" i="2"/>
  <c r="B71" i="2"/>
  <c r="F70" i="6"/>
  <c r="C70" i="6"/>
  <c r="M137" i="6" l="1"/>
  <c r="N136" i="6"/>
  <c r="C71" i="2"/>
  <c r="F71" i="2"/>
  <c r="D71" i="6"/>
  <c r="B71" i="6"/>
  <c r="N135" i="2"/>
  <c r="M136" i="2"/>
  <c r="N137" i="6" l="1"/>
  <c r="M138" i="6"/>
  <c r="F71" i="6"/>
  <c r="C71" i="6"/>
  <c r="B72" i="2"/>
  <c r="D72" i="2"/>
  <c r="M137" i="2"/>
  <c r="N136" i="2"/>
  <c r="M139" i="6" l="1"/>
  <c r="N138" i="6"/>
  <c r="B72" i="6"/>
  <c r="D72" i="6"/>
  <c r="C72" i="2"/>
  <c r="F72" i="2"/>
  <c r="N137" i="2"/>
  <c r="M138" i="2"/>
  <c r="N139" i="6" l="1"/>
  <c r="M140" i="6"/>
  <c r="D73" i="2"/>
  <c r="B73" i="2"/>
  <c r="F72" i="6"/>
  <c r="C72" i="6"/>
  <c r="M139" i="2"/>
  <c r="N138" i="2"/>
  <c r="M141" i="6" l="1"/>
  <c r="N140" i="6"/>
  <c r="N139" i="2"/>
  <c r="M140" i="2"/>
  <c r="F73" i="2"/>
  <c r="C73" i="2"/>
  <c r="B73" i="6"/>
  <c r="D73" i="6"/>
  <c r="N141" i="6" l="1"/>
  <c r="M142" i="6"/>
  <c r="F73" i="6"/>
  <c r="C73" i="6"/>
  <c r="D74" i="2"/>
  <c r="B74" i="2"/>
  <c r="N140" i="2"/>
  <c r="M141" i="2"/>
  <c r="N142" i="6" l="1"/>
  <c r="M143" i="6"/>
  <c r="D74" i="6"/>
  <c r="B74" i="6"/>
  <c r="F74" i="2"/>
  <c r="C74" i="2"/>
  <c r="N141" i="2"/>
  <c r="M142" i="2"/>
  <c r="M144" i="6" l="1"/>
  <c r="N143" i="6"/>
  <c r="B75" i="2"/>
  <c r="D75" i="2"/>
  <c r="N142" i="2"/>
  <c r="M143" i="2"/>
  <c r="F74" i="6"/>
  <c r="C74" i="6"/>
  <c r="M145" i="6" l="1"/>
  <c r="N144" i="6"/>
  <c r="N143" i="2"/>
  <c r="M144" i="2"/>
  <c r="F75" i="2"/>
  <c r="C75" i="2"/>
  <c r="D75" i="6"/>
  <c r="B75" i="6"/>
  <c r="N145" i="6" l="1"/>
  <c r="M146" i="6"/>
  <c r="B76" i="2"/>
  <c r="D76" i="2"/>
  <c r="N144" i="2"/>
  <c r="M145" i="2"/>
  <c r="F75" i="6"/>
  <c r="C75" i="6"/>
  <c r="N146" i="6" l="1"/>
  <c r="M147" i="6"/>
  <c r="B76" i="6"/>
  <c r="D76" i="6"/>
  <c r="N145" i="2"/>
  <c r="M146" i="2"/>
  <c r="F76" i="2"/>
  <c r="C76" i="2"/>
  <c r="N147" i="6" l="1"/>
  <c r="M148" i="6"/>
  <c r="M147" i="2"/>
  <c r="N146" i="2"/>
  <c r="C76" i="6"/>
  <c r="F76" i="6"/>
  <c r="B77" i="2"/>
  <c r="D77" i="2"/>
  <c r="M149" i="6" l="1"/>
  <c r="N148" i="6"/>
  <c r="D77" i="6"/>
  <c r="B77" i="6"/>
  <c r="N147" i="2"/>
  <c r="M148" i="2"/>
  <c r="F77" i="2"/>
  <c r="C77" i="2"/>
  <c r="M150" i="6" l="1"/>
  <c r="N149" i="6"/>
  <c r="D78" i="2"/>
  <c r="B78" i="2"/>
  <c r="N148" i="2"/>
  <c r="M149" i="2"/>
  <c r="C77" i="6"/>
  <c r="F77" i="6"/>
  <c r="N150" i="6" l="1"/>
  <c r="M151" i="6"/>
  <c r="F78" i="2"/>
  <c r="C78" i="2"/>
  <c r="M150" i="2"/>
  <c r="N149" i="2"/>
  <c r="B78" i="6"/>
  <c r="D78" i="6"/>
  <c r="N151" i="6" l="1"/>
  <c r="M152" i="6"/>
  <c r="N150" i="2"/>
  <c r="M151" i="2"/>
  <c r="B79" i="2"/>
  <c r="D79" i="2"/>
  <c r="F78" i="6"/>
  <c r="C78" i="6"/>
  <c r="N152" i="6" l="1"/>
  <c r="M153" i="6"/>
  <c r="C79" i="2"/>
  <c r="F79" i="2"/>
  <c r="N151" i="2"/>
  <c r="M152" i="2"/>
  <c r="B79" i="6"/>
  <c r="D79" i="6"/>
  <c r="N153" i="6" l="1"/>
  <c r="M154" i="6"/>
  <c r="B80" i="2"/>
  <c r="D80" i="2"/>
  <c r="F79" i="6"/>
  <c r="C79" i="6"/>
  <c r="N152" i="2"/>
  <c r="M153" i="2"/>
  <c r="M155" i="6" l="1"/>
  <c r="N154" i="6"/>
  <c r="D80" i="6"/>
  <c r="B80" i="6"/>
  <c r="M154" i="2"/>
  <c r="N153" i="2"/>
  <c r="C80" i="2"/>
  <c r="F80" i="2"/>
  <c r="M156" i="6" l="1"/>
  <c r="N155" i="6"/>
  <c r="N154" i="2"/>
  <c r="M155" i="2"/>
  <c r="F80" i="6"/>
  <c r="C80" i="6"/>
  <c r="D81" i="2"/>
  <c r="B81" i="2"/>
  <c r="M157" i="6" l="1"/>
  <c r="N156" i="6"/>
  <c r="M156" i="2"/>
  <c r="N155" i="2"/>
  <c r="D81" i="6"/>
  <c r="B81" i="6"/>
  <c r="C81" i="2"/>
  <c r="F81" i="2"/>
  <c r="N157" i="6" l="1"/>
  <c r="M158" i="6"/>
  <c r="M157" i="2"/>
  <c r="N156" i="2"/>
  <c r="F81" i="6"/>
  <c r="C81" i="6"/>
  <c r="B82" i="2"/>
  <c r="D82" i="2"/>
  <c r="N158" i="6" l="1"/>
  <c r="M159" i="6"/>
  <c r="D82" i="6"/>
  <c r="B82" i="6"/>
  <c r="M158" i="2"/>
  <c r="N157" i="2"/>
  <c r="F82" i="2"/>
  <c r="C82" i="2"/>
  <c r="N159" i="6" l="1"/>
  <c r="M160" i="6"/>
  <c r="N158" i="2"/>
  <c r="M159" i="2"/>
  <c r="F82" i="6"/>
  <c r="C82" i="6"/>
  <c r="D83" i="2"/>
  <c r="B83" i="2"/>
  <c r="M161" i="6" l="1"/>
  <c r="N160" i="6"/>
  <c r="D83" i="6"/>
  <c r="B83" i="6"/>
  <c r="N159" i="2"/>
  <c r="M160" i="2"/>
  <c r="C83" i="2"/>
  <c r="F83" i="2"/>
  <c r="M162" i="6" l="1"/>
  <c r="N161" i="6"/>
  <c r="C83" i="6"/>
  <c r="F83" i="6"/>
  <c r="D84" i="2"/>
  <c r="B84" i="2"/>
  <c r="N160" i="2"/>
  <c r="M161" i="2"/>
  <c r="M163" i="6" l="1"/>
  <c r="N162" i="6"/>
  <c r="N161" i="2"/>
  <c r="M162" i="2"/>
  <c r="F84" i="2"/>
  <c r="C84" i="2"/>
  <c r="D84" i="6"/>
  <c r="B84" i="6"/>
  <c r="N163" i="6" l="1"/>
  <c r="M164" i="6"/>
  <c r="M163" i="2"/>
  <c r="N162" i="2"/>
  <c r="B85" i="2"/>
  <c r="D85" i="2"/>
  <c r="C84" i="6"/>
  <c r="F84" i="6"/>
  <c r="M165" i="6" l="1"/>
  <c r="N164" i="6"/>
  <c r="M164" i="2"/>
  <c r="N163" i="2"/>
  <c r="F85" i="2"/>
  <c r="C85" i="2"/>
  <c r="D85" i="6"/>
  <c r="B85" i="6"/>
  <c r="N165" i="6" l="1"/>
  <c r="M166" i="6"/>
  <c r="D86" i="2"/>
  <c r="B86" i="2"/>
  <c r="F85" i="6"/>
  <c r="C85" i="6"/>
  <c r="N164" i="2"/>
  <c r="M165" i="2"/>
  <c r="N166" i="6" l="1"/>
  <c r="M167" i="6"/>
  <c r="D86" i="6"/>
  <c r="B86" i="6"/>
  <c r="F86" i="2"/>
  <c r="C86" i="2"/>
  <c r="M166" i="2"/>
  <c r="N165" i="2"/>
  <c r="M168" i="6" l="1"/>
  <c r="N167" i="6"/>
  <c r="D87" i="2"/>
  <c r="B87" i="2"/>
  <c r="M167" i="2"/>
  <c r="N166" i="2"/>
  <c r="C86" i="6"/>
  <c r="F86" i="6"/>
  <c r="M169" i="6" l="1"/>
  <c r="N168" i="6"/>
  <c r="N167" i="2"/>
  <c r="M168" i="2"/>
  <c r="F87" i="2"/>
  <c r="C87" i="2"/>
  <c r="D87" i="6"/>
  <c r="B87" i="6"/>
  <c r="M170" i="6" l="1"/>
  <c r="N169" i="6"/>
  <c r="C87" i="6"/>
  <c r="F87" i="6"/>
  <c r="B88" i="2"/>
  <c r="D88" i="2"/>
  <c r="M169" i="2"/>
  <c r="N168" i="2"/>
  <c r="N170" i="6" l="1"/>
  <c r="M171" i="6"/>
  <c r="M170" i="2"/>
  <c r="N169" i="2"/>
  <c r="C88" i="2"/>
  <c r="F88" i="2"/>
  <c r="B88" i="6"/>
  <c r="D88" i="6"/>
  <c r="M172" i="6" l="1"/>
  <c r="N171" i="6"/>
  <c r="D89" i="2"/>
  <c r="B89" i="2"/>
  <c r="C88" i="6"/>
  <c r="F88" i="6"/>
  <c r="M171" i="2"/>
  <c r="N170" i="2"/>
  <c r="M173" i="6" l="1"/>
  <c r="N172" i="6"/>
  <c r="D89" i="6"/>
  <c r="B89" i="6"/>
  <c r="F89" i="2"/>
  <c r="C89" i="2"/>
  <c r="M172" i="2"/>
  <c r="N171" i="2"/>
  <c r="M174" i="6" l="1"/>
  <c r="N173" i="6"/>
  <c r="D90" i="2"/>
  <c r="B90" i="2"/>
  <c r="F89" i="6"/>
  <c r="C89" i="6"/>
  <c r="N172" i="2"/>
  <c r="M173" i="2"/>
  <c r="M175" i="6" l="1"/>
  <c r="N174" i="6"/>
  <c r="B90" i="6"/>
  <c r="D90" i="6"/>
  <c r="F90" i="2"/>
  <c r="C90" i="2"/>
  <c r="N173" i="2"/>
  <c r="M174" i="2"/>
  <c r="N175" i="6" l="1"/>
  <c r="M176" i="6"/>
  <c r="D91" i="2"/>
  <c r="B91" i="2"/>
  <c r="C90" i="6"/>
  <c r="F90" i="6"/>
  <c r="N174" i="2"/>
  <c r="M175" i="2"/>
  <c r="N176" i="6" l="1"/>
  <c r="M177" i="6"/>
  <c r="M176" i="2"/>
  <c r="N175" i="2"/>
  <c r="D91" i="6"/>
  <c r="B91" i="6"/>
  <c r="F91" i="2"/>
  <c r="C91" i="2"/>
  <c r="M178" i="6" l="1"/>
  <c r="N177" i="6"/>
  <c r="B92" i="2"/>
  <c r="D92" i="2"/>
  <c r="C91" i="6"/>
  <c r="F91" i="6"/>
  <c r="N176" i="2"/>
  <c r="M177" i="2"/>
  <c r="N178" i="6" l="1"/>
  <c r="M179" i="6"/>
  <c r="N177" i="2"/>
  <c r="M178" i="2"/>
  <c r="D92" i="6"/>
  <c r="B92" i="6"/>
  <c r="C92" i="2"/>
  <c r="F92" i="2"/>
  <c r="N179" i="6" l="1"/>
  <c r="M180" i="6"/>
  <c r="D93" i="2"/>
  <c r="B93" i="2"/>
  <c r="M179" i="2"/>
  <c r="N178" i="2"/>
  <c r="F92" i="6"/>
  <c r="C92" i="6"/>
  <c r="M181" i="6" l="1"/>
  <c r="N180" i="6"/>
  <c r="M180" i="2"/>
  <c r="N179" i="2"/>
  <c r="F93" i="2"/>
  <c r="C93" i="2"/>
  <c r="D93" i="6"/>
  <c r="B93" i="6"/>
  <c r="M182" i="6" l="1"/>
  <c r="N181" i="6"/>
  <c r="N180" i="2"/>
  <c r="M181" i="2"/>
  <c r="D94" i="2"/>
  <c r="B94" i="2"/>
  <c r="C93" i="6"/>
  <c r="F93" i="6"/>
  <c r="M183" i="6" l="1"/>
  <c r="N182" i="6"/>
  <c r="F94" i="2"/>
  <c r="C94" i="2"/>
  <c r="N181" i="2"/>
  <c r="M182" i="2"/>
  <c r="B94" i="6"/>
  <c r="D94" i="6"/>
  <c r="M184" i="6" l="1"/>
  <c r="N183" i="6"/>
  <c r="C94" i="6"/>
  <c r="F94" i="6"/>
  <c r="M183" i="2"/>
  <c r="N182" i="2"/>
  <c r="D95" i="2"/>
  <c r="B95" i="2"/>
  <c r="M185" i="6" l="1"/>
  <c r="N184" i="6"/>
  <c r="D95" i="6"/>
  <c r="B95" i="6"/>
  <c r="F95" i="2"/>
  <c r="C95" i="2"/>
  <c r="N183" i="2"/>
  <c r="M184" i="2"/>
  <c r="N185" i="6" l="1"/>
  <c r="M186" i="6"/>
  <c r="F95" i="6"/>
  <c r="C95" i="6"/>
  <c r="B96" i="2"/>
  <c r="D96" i="2"/>
  <c r="M185" i="2"/>
  <c r="N184" i="2"/>
  <c r="N186" i="6" l="1"/>
  <c r="M187" i="6"/>
  <c r="F96" i="2"/>
  <c r="C96" i="2"/>
  <c r="B96" i="6"/>
  <c r="D96" i="6"/>
  <c r="M186" i="2"/>
  <c r="N185" i="2"/>
  <c r="M188" i="6" l="1"/>
  <c r="N187" i="6"/>
  <c r="F96" i="6"/>
  <c r="C96" i="6"/>
  <c r="B97" i="2"/>
  <c r="D97" i="2"/>
  <c r="M187" i="2"/>
  <c r="N186" i="2"/>
  <c r="N188" i="6" l="1"/>
  <c r="M189" i="6"/>
  <c r="N187" i="2"/>
  <c r="M188" i="2"/>
  <c r="C97" i="2"/>
  <c r="F97" i="2"/>
  <c r="D97" i="6"/>
  <c r="B97" i="6"/>
  <c r="N189" i="6" l="1"/>
  <c r="M190" i="6"/>
  <c r="F97" i="6"/>
  <c r="C97" i="6"/>
  <c r="B98" i="2"/>
  <c r="D98" i="2"/>
  <c r="N188" i="2"/>
  <c r="M189" i="2"/>
  <c r="N190" i="6" l="1"/>
  <c r="M191" i="6"/>
  <c r="N189" i="2"/>
  <c r="M190" i="2"/>
  <c r="B98" i="6"/>
  <c r="D98" i="6"/>
  <c r="F98" i="2"/>
  <c r="C98" i="2"/>
  <c r="N191" i="6" l="1"/>
  <c r="M192" i="6"/>
  <c r="F98" i="6"/>
  <c r="C98" i="6"/>
  <c r="M191" i="2"/>
  <c r="N190" i="2"/>
  <c r="B99" i="2"/>
  <c r="D99" i="2"/>
  <c r="M193" i="6" l="1"/>
  <c r="N192" i="6"/>
  <c r="D99" i="6"/>
  <c r="B99" i="6"/>
  <c r="F99" i="2"/>
  <c r="C99" i="2"/>
  <c r="M192" i="2"/>
  <c r="N191" i="2"/>
  <c r="M194" i="6" l="1"/>
  <c r="N193" i="6"/>
  <c r="D100" i="2"/>
  <c r="B100" i="2"/>
  <c r="F99" i="6"/>
  <c r="C99" i="6"/>
  <c r="M193" i="2"/>
  <c r="N192" i="2"/>
  <c r="M195" i="6" l="1"/>
  <c r="N194" i="6"/>
  <c r="N193" i="2"/>
  <c r="M194" i="2"/>
  <c r="F100" i="2"/>
  <c r="C100" i="2"/>
  <c r="B100" i="6"/>
  <c r="D100" i="6"/>
  <c r="N195" i="6" l="1"/>
  <c r="M196" i="6"/>
  <c r="M195" i="2"/>
  <c r="N194" i="2"/>
  <c r="F100" i="6"/>
  <c r="C100" i="6"/>
  <c r="B101" i="2"/>
  <c r="D101" i="2"/>
  <c r="M197" i="6" l="1"/>
  <c r="N196" i="6"/>
  <c r="D101" i="6"/>
  <c r="B101" i="6"/>
  <c r="N195" i="2"/>
  <c r="M196" i="2"/>
  <c r="F101" i="2"/>
  <c r="C101" i="2"/>
  <c r="M198" i="6" l="1"/>
  <c r="N197" i="6"/>
  <c r="D102" i="2"/>
  <c r="B102" i="2"/>
  <c r="C101" i="6"/>
  <c r="F101" i="6"/>
  <c r="M197" i="2"/>
  <c r="N196" i="2"/>
  <c r="M199" i="6" l="1"/>
  <c r="N198" i="6"/>
  <c r="F102" i="2"/>
  <c r="C102" i="2"/>
  <c r="D102" i="6"/>
  <c r="B102" i="6"/>
  <c r="M198" i="2"/>
  <c r="N197" i="2"/>
  <c r="M200" i="6" l="1"/>
  <c r="N199" i="6"/>
  <c r="F102" i="6"/>
  <c r="C102" i="6"/>
  <c r="B103" i="2"/>
  <c r="D103" i="2"/>
  <c r="M199" i="2"/>
  <c r="N198" i="2"/>
  <c r="M201" i="6" l="1"/>
  <c r="N200" i="6"/>
  <c r="C103" i="2"/>
  <c r="F103" i="2"/>
  <c r="D103" i="6"/>
  <c r="B103" i="6"/>
  <c r="N199" i="2"/>
  <c r="M200" i="2"/>
  <c r="M202" i="6" l="1"/>
  <c r="N201" i="6"/>
  <c r="M201" i="2"/>
  <c r="N200" i="2"/>
  <c r="C103" i="6"/>
  <c r="F103" i="6"/>
  <c r="B104" i="2"/>
  <c r="D104" i="2"/>
  <c r="N202" i="6" l="1"/>
  <c r="M203" i="6"/>
  <c r="N201" i="2"/>
  <c r="M202" i="2"/>
  <c r="B104" i="6"/>
  <c r="D104" i="6"/>
  <c r="F104" i="2"/>
  <c r="C104" i="2"/>
  <c r="N203" i="6" l="1"/>
  <c r="M204" i="6"/>
  <c r="F104" i="6"/>
  <c r="C104" i="6"/>
  <c r="N202" i="2"/>
  <c r="M203" i="2"/>
  <c r="D105" i="2"/>
  <c r="B105" i="2"/>
  <c r="M205" i="6" l="1"/>
  <c r="N205" i="6" s="1"/>
  <c r="N204" i="6"/>
  <c r="D105" i="6"/>
  <c r="B105" i="6"/>
  <c r="C105" i="2"/>
  <c r="F105" i="2"/>
  <c r="M204" i="2"/>
  <c r="N203" i="2"/>
  <c r="P5" i="6" l="1"/>
  <c r="R5" i="6"/>
  <c r="N204" i="2"/>
  <c r="M205" i="2"/>
  <c r="N205" i="2" s="1"/>
  <c r="B106" i="2"/>
  <c r="D106" i="2"/>
  <c r="C105" i="6"/>
  <c r="F105" i="6"/>
  <c r="E72" i="6" l="1"/>
  <c r="E41" i="6"/>
  <c r="E18" i="6"/>
  <c r="E104" i="6"/>
  <c r="E55" i="6"/>
  <c r="E48" i="6"/>
  <c r="E61" i="6"/>
  <c r="E34" i="6"/>
  <c r="E32" i="6"/>
  <c r="E88" i="6"/>
  <c r="E59" i="6"/>
  <c r="E86" i="6"/>
  <c r="E36" i="6"/>
  <c r="L10" i="6"/>
  <c r="L18" i="6"/>
  <c r="L26" i="6"/>
  <c r="L34" i="6"/>
  <c r="L42" i="6"/>
  <c r="L50" i="6"/>
  <c r="L58" i="6"/>
  <c r="L66" i="6"/>
  <c r="L74" i="6"/>
  <c r="L82" i="6"/>
  <c r="L90" i="6"/>
  <c r="L98" i="6"/>
  <c r="L106" i="6"/>
  <c r="L114" i="6"/>
  <c r="L122" i="6"/>
  <c r="L130" i="6"/>
  <c r="L138" i="6"/>
  <c r="L146" i="6"/>
  <c r="L154" i="6"/>
  <c r="L162" i="6"/>
  <c r="L170" i="6"/>
  <c r="L178" i="6"/>
  <c r="L186" i="6"/>
  <c r="L194" i="6"/>
  <c r="L202" i="6"/>
  <c r="E17" i="6"/>
  <c r="E96" i="6"/>
  <c r="E64" i="6"/>
  <c r="E13" i="6"/>
  <c r="E71" i="6"/>
  <c r="E16" i="6"/>
  <c r="E31" i="6"/>
  <c r="E52" i="6"/>
  <c r="E27" i="6"/>
  <c r="E22" i="6"/>
  <c r="E102" i="6"/>
  <c r="E65" i="6"/>
  <c r="E35" i="6"/>
  <c r="L11" i="6"/>
  <c r="L19" i="6"/>
  <c r="L27" i="6"/>
  <c r="L35" i="6"/>
  <c r="L43" i="6"/>
  <c r="L51" i="6"/>
  <c r="L59" i="6"/>
  <c r="L67" i="6"/>
  <c r="L75" i="6"/>
  <c r="L83" i="6"/>
  <c r="L91" i="6"/>
  <c r="L99" i="6"/>
  <c r="L107" i="6"/>
  <c r="L115" i="6"/>
  <c r="L123" i="6"/>
  <c r="L131" i="6"/>
  <c r="L139" i="6"/>
  <c r="L147" i="6"/>
  <c r="L155" i="6"/>
  <c r="L163" i="6"/>
  <c r="L171" i="6"/>
  <c r="L179" i="6"/>
  <c r="L187" i="6"/>
  <c r="L195" i="6"/>
  <c r="L203" i="6"/>
  <c r="L205" i="6"/>
  <c r="E10" i="6"/>
  <c r="E46" i="6"/>
  <c r="E58" i="6"/>
  <c r="L8" i="6"/>
  <c r="L32" i="6"/>
  <c r="L56" i="6"/>
  <c r="E54" i="6"/>
  <c r="E14" i="6"/>
  <c r="E50" i="6"/>
  <c r="E77" i="6"/>
  <c r="E49" i="6"/>
  <c r="E63" i="6"/>
  <c r="E85" i="6"/>
  <c r="E39" i="6"/>
  <c r="E12" i="6"/>
  <c r="E7" i="6"/>
  <c r="E20" i="6"/>
  <c r="E78" i="6"/>
  <c r="E98" i="6"/>
  <c r="L12" i="6"/>
  <c r="L20" i="6"/>
  <c r="L28" i="6"/>
  <c r="L36" i="6"/>
  <c r="L44" i="6"/>
  <c r="L52" i="6"/>
  <c r="L60" i="6"/>
  <c r="L68" i="6"/>
  <c r="L76" i="6"/>
  <c r="L84" i="6"/>
  <c r="L92" i="6"/>
  <c r="L100" i="6"/>
  <c r="L108" i="6"/>
  <c r="L116" i="6"/>
  <c r="L124" i="6"/>
  <c r="L132" i="6"/>
  <c r="L140" i="6"/>
  <c r="L148" i="6"/>
  <c r="L156" i="6"/>
  <c r="L164" i="6"/>
  <c r="L172" i="6"/>
  <c r="L180" i="6"/>
  <c r="L188" i="6"/>
  <c r="L196" i="6"/>
  <c r="E101" i="6"/>
  <c r="E29" i="6"/>
  <c r="L6" i="6"/>
  <c r="E91" i="6"/>
  <c r="E38" i="6"/>
  <c r="E33" i="6"/>
  <c r="E69" i="6"/>
  <c r="L5" i="6"/>
  <c r="E26" i="6"/>
  <c r="E44" i="6"/>
  <c r="E47" i="6"/>
  <c r="E76" i="6"/>
  <c r="E51" i="6"/>
  <c r="L13" i="6"/>
  <c r="L21" i="6"/>
  <c r="L29" i="6"/>
  <c r="L37" i="6"/>
  <c r="L45" i="6"/>
  <c r="L53" i="6"/>
  <c r="L61" i="6"/>
  <c r="L69" i="6"/>
  <c r="L77" i="6"/>
  <c r="L85" i="6"/>
  <c r="L93" i="6"/>
  <c r="L101" i="6"/>
  <c r="L109" i="6"/>
  <c r="L117" i="6"/>
  <c r="L125" i="6"/>
  <c r="L133" i="6"/>
  <c r="L141" i="6"/>
  <c r="L149" i="6"/>
  <c r="L157" i="6"/>
  <c r="L165" i="6"/>
  <c r="L173" i="6"/>
  <c r="L181" i="6"/>
  <c r="L189" i="6"/>
  <c r="L197" i="6"/>
  <c r="E23" i="6"/>
  <c r="E80" i="6"/>
  <c r="L24" i="6"/>
  <c r="L48" i="6"/>
  <c r="L72" i="6"/>
  <c r="E97" i="6"/>
  <c r="E11" i="6"/>
  <c r="E87" i="6"/>
  <c r="E94" i="6"/>
  <c r="E21" i="6"/>
  <c r="E30" i="6"/>
  <c r="E99" i="6"/>
  <c r="E95" i="6"/>
  <c r="E68" i="6"/>
  <c r="E6" i="6"/>
  <c r="E56" i="6"/>
  <c r="E74" i="6"/>
  <c r="E43" i="6"/>
  <c r="L14" i="6"/>
  <c r="L22" i="6"/>
  <c r="L30" i="6"/>
  <c r="L38" i="6"/>
  <c r="L46" i="6"/>
  <c r="L54" i="6"/>
  <c r="L62" i="6"/>
  <c r="L70" i="6"/>
  <c r="L78" i="6"/>
  <c r="L86" i="6"/>
  <c r="L94" i="6"/>
  <c r="L102" i="6"/>
  <c r="L110" i="6"/>
  <c r="L118" i="6"/>
  <c r="L126" i="6"/>
  <c r="L134" i="6"/>
  <c r="L142" i="6"/>
  <c r="L150" i="6"/>
  <c r="L158" i="6"/>
  <c r="L166" i="6"/>
  <c r="L174" i="6"/>
  <c r="L182" i="6"/>
  <c r="L190" i="6"/>
  <c r="L198" i="6"/>
  <c r="E67" i="6"/>
  <c r="E15" i="6"/>
  <c r="E75" i="6"/>
  <c r="E73" i="6"/>
  <c r="E28" i="6"/>
  <c r="E92" i="6"/>
  <c r="E53" i="6"/>
  <c r="E57" i="6"/>
  <c r="E93" i="6"/>
  <c r="E9" i="6"/>
  <c r="E24" i="6"/>
  <c r="E66" i="6"/>
  <c r="L7" i="6"/>
  <c r="L15" i="6"/>
  <c r="L23" i="6"/>
  <c r="L31" i="6"/>
  <c r="L39" i="6"/>
  <c r="L47" i="6"/>
  <c r="L55" i="6"/>
  <c r="L63" i="6"/>
  <c r="L71" i="6"/>
  <c r="L79" i="6"/>
  <c r="L87" i="6"/>
  <c r="L95" i="6"/>
  <c r="L103" i="6"/>
  <c r="L111" i="6"/>
  <c r="L119" i="6"/>
  <c r="L127" i="6"/>
  <c r="L135" i="6"/>
  <c r="L143" i="6"/>
  <c r="L151" i="6"/>
  <c r="L159" i="6"/>
  <c r="L167" i="6"/>
  <c r="L175" i="6"/>
  <c r="L183" i="6"/>
  <c r="L191" i="6"/>
  <c r="L199" i="6"/>
  <c r="E103" i="6"/>
  <c r="E25" i="6"/>
  <c r="E70" i="6"/>
  <c r="E19" i="6"/>
  <c r="E82" i="6"/>
  <c r="E62" i="6"/>
  <c r="E8" i="6"/>
  <c r="L16" i="6"/>
  <c r="L40" i="6"/>
  <c r="L64" i="6"/>
  <c r="E89" i="6"/>
  <c r="L17" i="6"/>
  <c r="L80" i="6"/>
  <c r="L112" i="6"/>
  <c r="L144" i="6"/>
  <c r="L176" i="6"/>
  <c r="L25" i="6"/>
  <c r="L113" i="6"/>
  <c r="L177" i="6"/>
  <c r="E79" i="6"/>
  <c r="L88" i="6"/>
  <c r="L152" i="6"/>
  <c r="L97" i="6"/>
  <c r="L193" i="6"/>
  <c r="E45" i="6"/>
  <c r="L136" i="6"/>
  <c r="E81" i="6"/>
  <c r="E83" i="6"/>
  <c r="L41" i="6"/>
  <c r="L89" i="6"/>
  <c r="L121" i="6"/>
  <c r="L153" i="6"/>
  <c r="L185" i="6"/>
  <c r="E5" i="6"/>
  <c r="E60" i="6"/>
  <c r="L49" i="6"/>
  <c r="L96" i="6"/>
  <c r="L128" i="6"/>
  <c r="L160" i="6"/>
  <c r="L192" i="6"/>
  <c r="E90" i="6"/>
  <c r="E84" i="6"/>
  <c r="L57" i="6"/>
  <c r="L129" i="6"/>
  <c r="L65" i="6"/>
  <c r="L168" i="6"/>
  <c r="E100" i="6"/>
  <c r="L9" i="6"/>
  <c r="L73" i="6"/>
  <c r="L105" i="6"/>
  <c r="L137" i="6"/>
  <c r="L169" i="6"/>
  <c r="L201" i="6"/>
  <c r="E40" i="6"/>
  <c r="L81" i="6"/>
  <c r="L145" i="6"/>
  <c r="E37" i="6"/>
  <c r="L33" i="6"/>
  <c r="L120" i="6"/>
  <c r="L184" i="6"/>
  <c r="L161" i="6"/>
  <c r="E42" i="6"/>
  <c r="L104" i="6"/>
  <c r="L200" i="6"/>
  <c r="L204" i="6"/>
  <c r="C106" i="2"/>
  <c r="F106" i="2"/>
  <c r="B106" i="6"/>
  <c r="D106" i="6"/>
  <c r="E105" i="6"/>
  <c r="R5" i="2"/>
  <c r="P5" i="2"/>
  <c r="E96" i="2" l="1"/>
  <c r="E30" i="2"/>
  <c r="E42" i="2"/>
  <c r="E59" i="2"/>
  <c r="E28" i="2"/>
  <c r="E64" i="2"/>
  <c r="E92" i="2"/>
  <c r="E8" i="2"/>
  <c r="E89" i="2"/>
  <c r="E83" i="2"/>
  <c r="E95" i="2"/>
  <c r="E7" i="2"/>
  <c r="E100" i="2"/>
  <c r="E78" i="2"/>
  <c r="E90" i="2"/>
  <c r="E26" i="2"/>
  <c r="E45" i="2"/>
  <c r="E12" i="2"/>
  <c r="E16" i="2"/>
  <c r="E63" i="2"/>
  <c r="E76" i="2"/>
  <c r="E65" i="2"/>
  <c r="E36" i="2"/>
  <c r="E21" i="2"/>
  <c r="E33" i="2"/>
  <c r="E24" i="2"/>
  <c r="E46" i="2"/>
  <c r="E34" i="2"/>
  <c r="E67" i="2"/>
  <c r="E87" i="2"/>
  <c r="E68" i="2"/>
  <c r="E11" i="2"/>
  <c r="E20" i="2"/>
  <c r="E57" i="2"/>
  <c r="E47" i="2"/>
  <c r="E38" i="2"/>
  <c r="E18" i="2"/>
  <c r="E60" i="2"/>
  <c r="E73" i="2"/>
  <c r="E49" i="2"/>
  <c r="E105" i="2"/>
  <c r="E88" i="2"/>
  <c r="E29" i="2"/>
  <c r="E70" i="2"/>
  <c r="E66" i="2"/>
  <c r="E77" i="2"/>
  <c r="E9" i="2"/>
  <c r="E72" i="2"/>
  <c r="E48" i="2"/>
  <c r="E55" i="2"/>
  <c r="E23" i="2"/>
  <c r="E37" i="2"/>
  <c r="E51" i="2"/>
  <c r="E54" i="2"/>
  <c r="E50" i="2"/>
  <c r="E85" i="2"/>
  <c r="E98" i="2"/>
  <c r="E22" i="2"/>
  <c r="E43" i="2"/>
  <c r="E32" i="2"/>
  <c r="E6" i="2"/>
  <c r="E106" i="2"/>
  <c r="E62" i="2"/>
  <c r="E52" i="2"/>
  <c r="E39" i="2"/>
  <c r="E41" i="2"/>
  <c r="E71" i="2"/>
  <c r="E93" i="2"/>
  <c r="E53" i="2"/>
  <c r="E44" i="2"/>
  <c r="E69" i="2"/>
  <c r="E14" i="2"/>
  <c r="E10" i="2"/>
  <c r="E40" i="2"/>
  <c r="E99" i="2"/>
  <c r="E80" i="2"/>
  <c r="E17" i="2"/>
  <c r="E86" i="2"/>
  <c r="E84" i="2"/>
  <c r="E91" i="2"/>
  <c r="E79" i="2"/>
  <c r="E56" i="2"/>
  <c r="E104" i="2"/>
  <c r="E102" i="2"/>
  <c r="E75" i="2"/>
  <c r="E82" i="2"/>
  <c r="E19" i="2"/>
  <c r="E101" i="2"/>
  <c r="E74" i="2"/>
  <c r="E97" i="2"/>
  <c r="E25" i="2"/>
  <c r="E81" i="2"/>
  <c r="E5" i="2"/>
  <c r="E13" i="2"/>
  <c r="E35" i="2"/>
  <c r="E61" i="2"/>
  <c r="E103" i="2"/>
  <c r="E58" i="2"/>
  <c r="E15" i="2"/>
  <c r="E94" i="2"/>
  <c r="E31" i="2"/>
  <c r="E27"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C106" i="6"/>
  <c r="F106" i="6"/>
  <c r="L205" i="2"/>
  <c r="L204" i="2"/>
  <c r="B107" i="2"/>
  <c r="D107" i="2"/>
  <c r="C107" i="2" l="1"/>
  <c r="F107" i="2"/>
  <c r="D107" i="6"/>
  <c r="B107" i="6"/>
  <c r="E106" i="6"/>
  <c r="F107" i="6" l="1"/>
  <c r="C107" i="6"/>
  <c r="B108" i="2"/>
  <c r="D108" i="2"/>
  <c r="E107" i="2"/>
  <c r="B108" i="6" l="1"/>
  <c r="D108" i="6"/>
  <c r="E107" i="6"/>
  <c r="F108" i="2"/>
  <c r="C108" i="2"/>
  <c r="D109" i="2" l="1"/>
  <c r="B109" i="2"/>
  <c r="E108" i="2"/>
  <c r="F108" i="6"/>
  <c r="C108" i="6"/>
  <c r="F109" i="2" l="1"/>
  <c r="C109" i="2"/>
  <c r="B109" i="6"/>
  <c r="D109" i="6"/>
  <c r="E108" i="6"/>
  <c r="D110" i="2" l="1"/>
  <c r="B110" i="2"/>
  <c r="E109" i="2"/>
  <c r="C109" i="6"/>
  <c r="F109" i="6"/>
  <c r="C110" i="2" l="1"/>
  <c r="F110" i="2"/>
  <c r="B110" i="6"/>
  <c r="D110" i="6"/>
  <c r="E109" i="6"/>
  <c r="C110" i="6" l="1"/>
  <c r="F110" i="6"/>
  <c r="B111" i="2"/>
  <c r="D111" i="2"/>
  <c r="E110" i="2"/>
  <c r="C111" i="2" l="1"/>
  <c r="F111" i="2"/>
  <c r="B111" i="6"/>
  <c r="D111" i="6"/>
  <c r="E110" i="6"/>
  <c r="F111" i="6" l="1"/>
  <c r="C111" i="6"/>
  <c r="D112" i="2"/>
  <c r="B112" i="2"/>
  <c r="E111" i="2"/>
  <c r="C112" i="2" l="1"/>
  <c r="F112" i="2"/>
  <c r="D112" i="6"/>
  <c r="B112" i="6"/>
  <c r="E111" i="6"/>
  <c r="C112" i="6" l="1"/>
  <c r="F112" i="6"/>
  <c r="D113" i="2"/>
  <c r="B113" i="2"/>
  <c r="E112" i="2"/>
  <c r="C113" i="2" l="1"/>
  <c r="F113" i="2"/>
  <c r="B113" i="6"/>
  <c r="D113" i="6"/>
  <c r="E112" i="6"/>
  <c r="C113" i="6" l="1"/>
  <c r="F113" i="6"/>
  <c r="B114" i="2"/>
  <c r="D114" i="2"/>
  <c r="E113" i="2"/>
  <c r="C114" i="2" l="1"/>
  <c r="F114" i="2"/>
  <c r="D114" i="6"/>
  <c r="B114" i="6"/>
  <c r="E113" i="6"/>
  <c r="F114" i="6" l="1"/>
  <c r="C114" i="6"/>
  <c r="D115" i="2"/>
  <c r="B115" i="2"/>
  <c r="E114" i="2"/>
  <c r="F115" i="2" l="1"/>
  <c r="C115" i="2"/>
  <c r="D115" i="6"/>
  <c r="B115" i="6"/>
  <c r="E114" i="6"/>
  <c r="C115" i="6" l="1"/>
  <c r="F115" i="6"/>
  <c r="B116" i="2"/>
  <c r="D116" i="2"/>
  <c r="E115" i="2"/>
  <c r="F116" i="2" l="1"/>
  <c r="C116" i="2"/>
  <c r="B116" i="6"/>
  <c r="D116" i="6"/>
  <c r="E115" i="6"/>
  <c r="B117" i="2" l="1"/>
  <c r="D117" i="2"/>
  <c r="E116" i="2"/>
  <c r="C116" i="6"/>
  <c r="F116" i="6"/>
  <c r="B117" i="6" l="1"/>
  <c r="D117" i="6"/>
  <c r="E116" i="6"/>
  <c r="C117" i="2"/>
  <c r="F117" i="2"/>
  <c r="B118" i="2" l="1"/>
  <c r="D118" i="2"/>
  <c r="E117" i="2"/>
  <c r="C117" i="6"/>
  <c r="F117" i="6"/>
  <c r="B118" i="6" l="1"/>
  <c r="D118" i="6"/>
  <c r="E117" i="6"/>
  <c r="F118" i="2"/>
  <c r="C118" i="2"/>
  <c r="B119" i="2" l="1"/>
  <c r="D119" i="2"/>
  <c r="E118" i="2"/>
  <c r="C118" i="6"/>
  <c r="F118" i="6"/>
  <c r="B119" i="6" l="1"/>
  <c r="D119" i="6"/>
  <c r="E118" i="6"/>
  <c r="C119" i="2"/>
  <c r="F119" i="2"/>
  <c r="B120" i="2" l="1"/>
  <c r="D120" i="2"/>
  <c r="E119" i="2"/>
  <c r="C119" i="6"/>
  <c r="F119" i="6"/>
  <c r="B120" i="6" l="1"/>
  <c r="D120" i="6"/>
  <c r="E119" i="6"/>
  <c r="F120" i="2"/>
  <c r="C120" i="2"/>
  <c r="B121" i="2" l="1"/>
  <c r="D121" i="2"/>
  <c r="E120" i="2"/>
  <c r="F120" i="6"/>
  <c r="C120" i="6"/>
  <c r="D121" i="6" l="1"/>
  <c r="B121" i="6"/>
  <c r="E120" i="6"/>
  <c r="C121" i="2"/>
  <c r="F121" i="2"/>
  <c r="D122" i="2" l="1"/>
  <c r="B122" i="2"/>
  <c r="E121" i="2"/>
  <c r="C121" i="6"/>
  <c r="F121" i="6"/>
  <c r="F122" i="2" l="1"/>
  <c r="C122" i="2"/>
  <c r="B122" i="6"/>
  <c r="D122" i="6"/>
  <c r="E121" i="6"/>
  <c r="D123" i="2" l="1"/>
  <c r="B123" i="2"/>
  <c r="E122" i="2"/>
  <c r="F122" i="6"/>
  <c r="C122" i="6"/>
  <c r="B123" i="6" l="1"/>
  <c r="D123" i="6"/>
  <c r="E122" i="6"/>
  <c r="C123" i="2"/>
  <c r="F123" i="2"/>
  <c r="B124" i="2" l="1"/>
  <c r="D124" i="2"/>
  <c r="E123" i="2"/>
  <c r="C123" i="6"/>
  <c r="F123" i="6"/>
  <c r="B124" i="6" l="1"/>
  <c r="D124" i="6"/>
  <c r="E123" i="6"/>
  <c r="C124" i="2"/>
  <c r="F124" i="2"/>
  <c r="D125" i="2" l="1"/>
  <c r="B125" i="2"/>
  <c r="E124" i="2"/>
  <c r="C124" i="6"/>
  <c r="F124" i="6"/>
  <c r="F125" i="2" l="1"/>
  <c r="C125" i="2"/>
  <c r="D125" i="6"/>
  <c r="B125" i="6"/>
  <c r="E124" i="6"/>
  <c r="C125" i="6" l="1"/>
  <c r="F125" i="6"/>
  <c r="D126" i="2"/>
  <c r="B126" i="2"/>
  <c r="E125" i="2"/>
  <c r="C126" i="2" l="1"/>
  <c r="F126" i="2"/>
  <c r="D126" i="6"/>
  <c r="B126" i="6"/>
  <c r="E125" i="6"/>
  <c r="C126" i="6" l="1"/>
  <c r="F126" i="6"/>
  <c r="D127" i="2"/>
  <c r="B127" i="2"/>
  <c r="E126" i="2"/>
  <c r="C127" i="2" l="1"/>
  <c r="F127" i="2"/>
  <c r="B127" i="6"/>
  <c r="D127" i="6"/>
  <c r="E126" i="6"/>
  <c r="C127" i="6" l="1"/>
  <c r="F127" i="6"/>
  <c r="D128" i="2"/>
  <c r="B128" i="2"/>
  <c r="E127" i="2"/>
  <c r="F128" i="2" l="1"/>
  <c r="C128" i="2"/>
  <c r="B128" i="6"/>
  <c r="D128" i="6"/>
  <c r="E127" i="6"/>
  <c r="B129" i="2" l="1"/>
  <c r="D129" i="2"/>
  <c r="E128" i="2"/>
  <c r="C128" i="6"/>
  <c r="F128" i="6"/>
  <c r="D129" i="6" l="1"/>
  <c r="B129" i="6"/>
  <c r="E128" i="6"/>
  <c r="C129" i="2"/>
  <c r="F129" i="2"/>
  <c r="F129" i="6" l="1"/>
  <c r="C129" i="6"/>
  <c r="D130" i="2"/>
  <c r="B130" i="2"/>
  <c r="E129" i="2"/>
  <c r="C130" i="2" l="1"/>
  <c r="F130" i="2"/>
  <c r="B130" i="6"/>
  <c r="D130" i="6"/>
  <c r="E129" i="6"/>
  <c r="F130" i="6" l="1"/>
  <c r="C130" i="6"/>
  <c r="B131" i="2"/>
  <c r="D131" i="2"/>
  <c r="E130" i="2"/>
  <c r="B131" i="6" l="1"/>
  <c r="D131" i="6"/>
  <c r="E130" i="6"/>
  <c r="F131" i="2"/>
  <c r="C131" i="2"/>
  <c r="B132" i="2" l="1"/>
  <c r="D132" i="2"/>
  <c r="E131" i="2"/>
  <c r="F131" i="6"/>
  <c r="C131" i="6"/>
  <c r="D132" i="6" l="1"/>
  <c r="B132" i="6"/>
  <c r="E131" i="6"/>
  <c r="F132" i="2"/>
  <c r="C132" i="2"/>
  <c r="C132" i="6" l="1"/>
  <c r="F132" i="6"/>
  <c r="B133" i="2"/>
  <c r="D133" i="2"/>
  <c r="E132" i="2"/>
  <c r="F133" i="2" l="1"/>
  <c r="C133" i="2"/>
  <c r="D133" i="6"/>
  <c r="B133" i="6"/>
  <c r="E132" i="6"/>
  <c r="F133" i="6" l="1"/>
  <c r="C133" i="6"/>
  <c r="D134" i="2"/>
  <c r="B134" i="2"/>
  <c r="E133" i="2"/>
  <c r="F134" i="2" l="1"/>
  <c r="C134" i="2"/>
  <c r="D134" i="6"/>
  <c r="B134" i="6"/>
  <c r="E133" i="6"/>
  <c r="F134" i="6" l="1"/>
  <c r="C134" i="6"/>
  <c r="B135" i="2"/>
  <c r="D135" i="2"/>
  <c r="E134" i="2"/>
  <c r="B135" i="6" l="1"/>
  <c r="D135" i="6"/>
  <c r="E134" i="6"/>
  <c r="C135" i="2"/>
  <c r="F135" i="2"/>
  <c r="B136" i="2" l="1"/>
  <c r="D136" i="2"/>
  <c r="E135" i="2"/>
  <c r="C135" i="6"/>
  <c r="F135" i="6"/>
  <c r="B136" i="6" l="1"/>
  <c r="D136" i="6"/>
  <c r="E135" i="6"/>
  <c r="F136" i="2"/>
  <c r="C136" i="2"/>
  <c r="B137" i="2" l="1"/>
  <c r="D137" i="2"/>
  <c r="E136" i="2"/>
  <c r="C136" i="6"/>
  <c r="F136" i="6"/>
  <c r="D137" i="6" l="1"/>
  <c r="B137" i="6"/>
  <c r="E136" i="6"/>
  <c r="F137" i="2"/>
  <c r="C137" i="2"/>
  <c r="D138" i="2" l="1"/>
  <c r="B138" i="2"/>
  <c r="E137" i="2"/>
  <c r="C137" i="6"/>
  <c r="F137" i="6"/>
  <c r="F138" i="2" l="1"/>
  <c r="C138" i="2"/>
  <c r="D138" i="6"/>
  <c r="B138" i="6"/>
  <c r="E137" i="6"/>
  <c r="F138" i="6" l="1"/>
  <c r="C138" i="6"/>
  <c r="B139" i="2"/>
  <c r="D139" i="2"/>
  <c r="E138" i="2"/>
  <c r="F139" i="2" l="1"/>
  <c r="C139" i="2"/>
  <c r="D139" i="6"/>
  <c r="B139" i="6"/>
  <c r="E138" i="6"/>
  <c r="C139" i="6" l="1"/>
  <c r="F139" i="6"/>
  <c r="B140" i="2"/>
  <c r="D140" i="2"/>
  <c r="E139" i="2"/>
  <c r="C140" i="2" l="1"/>
  <c r="F140" i="2"/>
  <c r="D140" i="6"/>
  <c r="B140" i="6"/>
  <c r="E139" i="6"/>
  <c r="F140" i="6" l="1"/>
  <c r="C140" i="6"/>
  <c r="B141" i="2"/>
  <c r="D141" i="2"/>
  <c r="E140" i="2"/>
  <c r="D141" i="6" l="1"/>
  <c r="B141" i="6"/>
  <c r="E140" i="6"/>
  <c r="F141" i="2"/>
  <c r="C141" i="2"/>
  <c r="C141" i="6" l="1"/>
  <c r="F141" i="6"/>
  <c r="D142" i="2"/>
  <c r="B142" i="2"/>
  <c r="E141" i="2"/>
  <c r="F142" i="2" l="1"/>
  <c r="C142" i="2"/>
  <c r="B142" i="6"/>
  <c r="D142" i="6"/>
  <c r="E141" i="6"/>
  <c r="B143" i="2" l="1"/>
  <c r="D143" i="2"/>
  <c r="E142" i="2"/>
  <c r="F142" i="6"/>
  <c r="C142" i="6"/>
  <c r="B143" i="6" l="1"/>
  <c r="D143" i="6"/>
  <c r="E142" i="6"/>
  <c r="F143" i="2"/>
  <c r="C143" i="2"/>
  <c r="D144" i="2" l="1"/>
  <c r="B144" i="2"/>
  <c r="E143" i="2"/>
  <c r="C143" i="6"/>
  <c r="F143" i="6"/>
  <c r="C144" i="2" l="1"/>
  <c r="F144" i="2"/>
  <c r="D144" i="6"/>
  <c r="B144" i="6"/>
  <c r="E143" i="6"/>
  <c r="C144" i="6" l="1"/>
  <c r="F144" i="6"/>
  <c r="D145" i="2"/>
  <c r="B145" i="2"/>
  <c r="E144" i="2"/>
  <c r="C145" i="2" l="1"/>
  <c r="F145" i="2"/>
  <c r="D145" i="6"/>
  <c r="B145" i="6"/>
  <c r="E144" i="6"/>
  <c r="C145" i="6" l="1"/>
  <c r="F145" i="6"/>
  <c r="D146" i="2"/>
  <c r="B146" i="2"/>
  <c r="E145" i="2"/>
  <c r="C146" i="2" l="1"/>
  <c r="F146" i="2"/>
  <c r="B146" i="6"/>
  <c r="D146" i="6"/>
  <c r="E145" i="6"/>
  <c r="F146" i="6" l="1"/>
  <c r="C146" i="6"/>
  <c r="B147" i="2"/>
  <c r="D147" i="2"/>
  <c r="E146" i="2"/>
  <c r="D147" i="6" l="1"/>
  <c r="B147" i="6"/>
  <c r="E146" i="6"/>
  <c r="F147" i="2"/>
  <c r="C147" i="2"/>
  <c r="C147" i="6" l="1"/>
  <c r="F147" i="6"/>
  <c r="D148" i="2"/>
  <c r="B148" i="2"/>
  <c r="E147" i="2"/>
  <c r="F148" i="2" l="1"/>
  <c r="C148" i="2"/>
  <c r="D148" i="6"/>
  <c r="B148" i="6"/>
  <c r="E147" i="6"/>
  <c r="F148" i="6" l="1"/>
  <c r="C148" i="6"/>
  <c r="B149" i="2"/>
  <c r="D149" i="2"/>
  <c r="E148" i="2"/>
  <c r="D149" i="6" l="1"/>
  <c r="B149" i="6"/>
  <c r="E148" i="6"/>
  <c r="F149" i="2"/>
  <c r="C149" i="2"/>
  <c r="D150" i="2" l="1"/>
  <c r="B150" i="2"/>
  <c r="E149" i="2"/>
  <c r="C149" i="6"/>
  <c r="F149" i="6"/>
  <c r="D150" i="6" l="1"/>
  <c r="B150" i="6"/>
  <c r="E149" i="6"/>
  <c r="F150" i="2"/>
  <c r="C150" i="2"/>
  <c r="B151" i="2" l="1"/>
  <c r="D151" i="2"/>
  <c r="E150" i="2"/>
  <c r="C150" i="6"/>
  <c r="F150" i="6"/>
  <c r="D151" i="6" l="1"/>
  <c r="B151" i="6"/>
  <c r="E150" i="6"/>
  <c r="C151" i="2"/>
  <c r="F151" i="2"/>
  <c r="F151" i="6" l="1"/>
  <c r="C151" i="6"/>
  <c r="D152" i="2"/>
  <c r="B152" i="2"/>
  <c r="E151" i="2"/>
  <c r="C152" i="2" l="1"/>
  <c r="F152" i="2"/>
  <c r="D152" i="6"/>
  <c r="B152" i="6"/>
  <c r="E151" i="6"/>
  <c r="F152" i="6" l="1"/>
  <c r="C152" i="6"/>
  <c r="B153" i="2"/>
  <c r="D153" i="2"/>
  <c r="E152" i="2"/>
  <c r="D153" i="6" l="1"/>
  <c r="B153" i="6"/>
  <c r="E152" i="6"/>
  <c r="C153" i="2"/>
  <c r="F153" i="2"/>
  <c r="D154" i="2" l="1"/>
  <c r="B154" i="2"/>
  <c r="E153" i="2"/>
  <c r="F153" i="6"/>
  <c r="C153" i="6"/>
  <c r="C154" i="2" l="1"/>
  <c r="F154" i="2"/>
  <c r="B154" i="6"/>
  <c r="D154" i="6"/>
  <c r="E153" i="6"/>
  <c r="C154" i="6" l="1"/>
  <c r="F154" i="6"/>
  <c r="B155" i="2"/>
  <c r="D155" i="2"/>
  <c r="E154" i="2"/>
  <c r="C155" i="2" l="1"/>
  <c r="F155" i="2"/>
  <c r="B155" i="6"/>
  <c r="D155" i="6"/>
  <c r="E154" i="6"/>
  <c r="C155" i="6" l="1"/>
  <c r="F155" i="6"/>
  <c r="B156" i="2"/>
  <c r="D156" i="2"/>
  <c r="E155" i="2"/>
  <c r="F156" i="2" l="1"/>
  <c r="C156" i="2"/>
  <c r="D156" i="6"/>
  <c r="B156" i="6"/>
  <c r="E155" i="6"/>
  <c r="F156" i="6" l="1"/>
  <c r="C156" i="6"/>
  <c r="B157" i="2"/>
  <c r="D157" i="2"/>
  <c r="E156" i="2"/>
  <c r="D157" i="6" l="1"/>
  <c r="B157" i="6"/>
  <c r="E156" i="6"/>
  <c r="F157" i="2"/>
  <c r="C157" i="2"/>
  <c r="F157" i="6" l="1"/>
  <c r="C157" i="6"/>
  <c r="D158" i="2"/>
  <c r="B158" i="2"/>
  <c r="E157" i="2"/>
  <c r="F158" i="2" l="1"/>
  <c r="C158" i="2"/>
  <c r="D158" i="6"/>
  <c r="B158" i="6"/>
  <c r="E157" i="6"/>
  <c r="D159" i="2" l="1"/>
  <c r="B159" i="2"/>
  <c r="E158" i="2"/>
  <c r="C158" i="6"/>
  <c r="F158" i="6"/>
  <c r="F159" i="2" l="1"/>
  <c r="C159" i="2"/>
  <c r="B159" i="6"/>
  <c r="D159" i="6"/>
  <c r="E158" i="6"/>
  <c r="D160" i="2" l="1"/>
  <c r="B160" i="2"/>
  <c r="E159" i="2"/>
  <c r="F159" i="6"/>
  <c r="C159" i="6"/>
  <c r="C160" i="2" l="1"/>
  <c r="F160" i="2"/>
  <c r="B160" i="6"/>
  <c r="D160" i="6"/>
  <c r="E159" i="6"/>
  <c r="C160" i="6" l="1"/>
  <c r="F160" i="6"/>
  <c r="B161" i="2"/>
  <c r="D161" i="2"/>
  <c r="E160" i="2"/>
  <c r="C161" i="2" l="1"/>
  <c r="F161" i="2"/>
  <c r="D161" i="6"/>
  <c r="B161" i="6"/>
  <c r="E160" i="6"/>
  <c r="F161" i="6" l="1"/>
  <c r="C161" i="6"/>
  <c r="D162" i="2"/>
  <c r="B162" i="2"/>
  <c r="E161" i="2"/>
  <c r="C162" i="2" l="1"/>
  <c r="F162" i="2"/>
  <c r="B162" i="6"/>
  <c r="D162" i="6"/>
  <c r="E161" i="6"/>
  <c r="F162" i="6" l="1"/>
  <c r="C162" i="6"/>
  <c r="B163" i="2"/>
  <c r="D163" i="2"/>
  <c r="E162" i="2"/>
  <c r="D163" i="6" l="1"/>
  <c r="B163" i="6"/>
  <c r="E162" i="6"/>
  <c r="C163" i="2"/>
  <c r="F163" i="2"/>
  <c r="C163" i="6" l="1"/>
  <c r="F163" i="6"/>
  <c r="D164" i="2"/>
  <c r="B164" i="2"/>
  <c r="E163" i="2"/>
  <c r="C164" i="2" l="1"/>
  <c r="F164" i="2"/>
  <c r="D164" i="6"/>
  <c r="B164" i="6"/>
  <c r="E163" i="6"/>
  <c r="C164" i="6" l="1"/>
  <c r="F164" i="6"/>
  <c r="D165" i="2"/>
  <c r="B165" i="2"/>
  <c r="E164" i="2"/>
  <c r="F165" i="2" l="1"/>
  <c r="C165" i="2"/>
  <c r="D165" i="6"/>
  <c r="B165" i="6"/>
  <c r="E164" i="6"/>
  <c r="F165" i="6" l="1"/>
  <c r="C165" i="6"/>
  <c r="D166" i="2"/>
  <c r="B166" i="2"/>
  <c r="E165" i="2"/>
  <c r="C166" i="2" l="1"/>
  <c r="F166" i="2"/>
  <c r="B166" i="6"/>
  <c r="D166" i="6"/>
  <c r="E165" i="6"/>
  <c r="F166" i="6" l="1"/>
  <c r="C166" i="6"/>
  <c r="D167" i="2"/>
  <c r="B167" i="2"/>
  <c r="E166" i="2"/>
  <c r="C167" i="2" l="1"/>
  <c r="F167" i="2"/>
  <c r="B167" i="6"/>
  <c r="D167" i="6"/>
  <c r="E166" i="6"/>
  <c r="C167" i="6" l="1"/>
  <c r="F167" i="6"/>
  <c r="D168" i="2"/>
  <c r="B168" i="2"/>
  <c r="E167" i="2"/>
  <c r="C168" i="2" l="1"/>
  <c r="F168" i="2"/>
  <c r="D168" i="6"/>
  <c r="B168" i="6"/>
  <c r="E167" i="6"/>
  <c r="C168" i="6" l="1"/>
  <c r="F168" i="6"/>
  <c r="D169" i="2"/>
  <c r="B169" i="2"/>
  <c r="E168" i="2"/>
  <c r="F169" i="2" l="1"/>
  <c r="C169" i="2"/>
  <c r="D169" i="6"/>
  <c r="B169" i="6"/>
  <c r="E168" i="6"/>
  <c r="F169" i="6" l="1"/>
  <c r="C169" i="6"/>
  <c r="D170" i="2"/>
  <c r="B170" i="2"/>
  <c r="E169" i="2"/>
  <c r="C170" i="2" l="1"/>
  <c r="F170" i="2"/>
  <c r="D170" i="6"/>
  <c r="B170" i="6"/>
  <c r="E169" i="6"/>
  <c r="F170" i="6" l="1"/>
  <c r="C170" i="6"/>
  <c r="B171" i="2"/>
  <c r="D171" i="2"/>
  <c r="E170" i="2"/>
  <c r="B171" i="6" l="1"/>
  <c r="D171" i="6"/>
  <c r="E170" i="6"/>
  <c r="C171" i="2"/>
  <c r="F171" i="2"/>
  <c r="D172" i="2" l="1"/>
  <c r="B172" i="2"/>
  <c r="E171" i="2"/>
  <c r="C171" i="6"/>
  <c r="F171" i="6"/>
  <c r="F172" i="2" l="1"/>
  <c r="C172" i="2"/>
  <c r="B172" i="6"/>
  <c r="D172" i="6"/>
  <c r="E171" i="6"/>
  <c r="D173" i="2" l="1"/>
  <c r="B173" i="2"/>
  <c r="E172" i="2"/>
  <c r="C172" i="6"/>
  <c r="F172" i="6"/>
  <c r="F173" i="2" l="1"/>
  <c r="C173" i="2"/>
  <c r="D173" i="6"/>
  <c r="B173" i="6"/>
  <c r="E172" i="6"/>
  <c r="F173" i="6" l="1"/>
  <c r="C173" i="6"/>
  <c r="D174" i="2"/>
  <c r="B174" i="2"/>
  <c r="E173" i="2"/>
  <c r="F174" i="2" l="1"/>
  <c r="C174" i="2"/>
  <c r="B174" i="6"/>
  <c r="D174" i="6"/>
  <c r="E173" i="6"/>
  <c r="D175" i="2" l="1"/>
  <c r="B175" i="2"/>
  <c r="E174" i="2"/>
  <c r="C174" i="6"/>
  <c r="F174" i="6"/>
  <c r="F175" i="2" l="1"/>
  <c r="C175" i="2"/>
  <c r="B175" i="6"/>
  <c r="D175" i="6"/>
  <c r="E174" i="6"/>
  <c r="B176" i="2" l="1"/>
  <c r="D176" i="2"/>
  <c r="E175" i="2"/>
  <c r="C175" i="6"/>
  <c r="F175" i="6"/>
  <c r="D176" i="6" l="1"/>
  <c r="B176" i="6"/>
  <c r="E175" i="6"/>
  <c r="F176" i="2"/>
  <c r="C176" i="2"/>
  <c r="C176" i="6" l="1"/>
  <c r="F176" i="6"/>
  <c r="D177" i="2"/>
  <c r="B177" i="2"/>
  <c r="E176" i="2"/>
  <c r="F177" i="2" l="1"/>
  <c r="C177" i="2"/>
  <c r="D177" i="6"/>
  <c r="B177" i="6"/>
  <c r="E176" i="6"/>
  <c r="C177" i="6" l="1"/>
  <c r="F177" i="6"/>
  <c r="D178" i="2"/>
  <c r="B178" i="2"/>
  <c r="E177" i="2"/>
  <c r="F178" i="2" l="1"/>
  <c r="C178" i="2"/>
  <c r="D178" i="6"/>
  <c r="B178" i="6"/>
  <c r="E177" i="6"/>
  <c r="C178" i="6" l="1"/>
  <c r="F178" i="6"/>
  <c r="D179" i="2"/>
  <c r="B179" i="2"/>
  <c r="E178" i="2"/>
  <c r="F179" i="2" l="1"/>
  <c r="C179" i="2"/>
  <c r="B179" i="6"/>
  <c r="D179" i="6"/>
  <c r="E178" i="6"/>
  <c r="B180" i="2" l="1"/>
  <c r="D180" i="2"/>
  <c r="E179" i="2"/>
  <c r="C179" i="6"/>
  <c r="F179" i="6"/>
  <c r="B180" i="6" l="1"/>
  <c r="D180" i="6"/>
  <c r="E179" i="6"/>
  <c r="F180" i="2"/>
  <c r="C180" i="2"/>
  <c r="D181" i="2" l="1"/>
  <c r="B181" i="2"/>
  <c r="E180" i="2"/>
  <c r="C180" i="6"/>
  <c r="F180" i="6"/>
  <c r="F181" i="2" l="1"/>
  <c r="C181" i="2"/>
  <c r="D181" i="6"/>
  <c r="B181" i="6"/>
  <c r="E180" i="6"/>
  <c r="F181" i="6" l="1"/>
  <c r="C181" i="6"/>
  <c r="D182" i="2"/>
  <c r="B182" i="2"/>
  <c r="E181" i="2"/>
  <c r="B182" i="6" l="1"/>
  <c r="D182" i="6"/>
  <c r="E181" i="6"/>
  <c r="F182" i="2"/>
  <c r="C182" i="2"/>
  <c r="D183" i="2" l="1"/>
  <c r="B183" i="2"/>
  <c r="E182" i="2"/>
  <c r="F182" i="6"/>
  <c r="C182" i="6"/>
  <c r="C183" i="2" l="1"/>
  <c r="F183" i="2"/>
  <c r="D183" i="6"/>
  <c r="B183" i="6"/>
  <c r="E182" i="6"/>
  <c r="C183" i="6" l="1"/>
  <c r="F183" i="6"/>
  <c r="D184" i="2"/>
  <c r="B184" i="2"/>
  <c r="E183" i="2"/>
  <c r="C184" i="2" l="1"/>
  <c r="F184" i="2"/>
  <c r="D184" i="6"/>
  <c r="B184" i="6"/>
  <c r="E183" i="6"/>
  <c r="C184" i="6" l="1"/>
  <c r="F184" i="6"/>
  <c r="B185" i="2"/>
  <c r="D185" i="2"/>
  <c r="E184" i="2"/>
  <c r="F185" i="2" l="1"/>
  <c r="C185" i="2"/>
  <c r="D185" i="6"/>
  <c r="B185" i="6"/>
  <c r="E184" i="6"/>
  <c r="D186" i="2" l="1"/>
  <c r="B186" i="2"/>
  <c r="E185" i="2"/>
  <c r="C185" i="6"/>
  <c r="F185" i="6"/>
  <c r="C186" i="2" l="1"/>
  <c r="F186" i="2"/>
  <c r="B186" i="6"/>
  <c r="D186" i="6"/>
  <c r="E185" i="6"/>
  <c r="C186" i="6" l="1"/>
  <c r="F186" i="6"/>
  <c r="B187" i="2"/>
  <c r="D187" i="2"/>
  <c r="E186" i="2"/>
  <c r="F187" i="2" l="1"/>
  <c r="C187" i="2"/>
  <c r="D187" i="6"/>
  <c r="B187" i="6"/>
  <c r="E186" i="6"/>
  <c r="B188" i="2" l="1"/>
  <c r="D188" i="2"/>
  <c r="E187" i="2"/>
  <c r="C187" i="6"/>
  <c r="F187" i="6"/>
  <c r="B188" i="6" l="1"/>
  <c r="D188" i="6"/>
  <c r="E187" i="6"/>
  <c r="C188" i="2"/>
  <c r="F188" i="2"/>
  <c r="D189" i="2" l="1"/>
  <c r="B189" i="2"/>
  <c r="E188" i="2"/>
  <c r="C188" i="6"/>
  <c r="F188" i="6"/>
  <c r="D189" i="6" l="1"/>
  <c r="B189" i="6"/>
  <c r="E188" i="6"/>
  <c r="F189" i="2"/>
  <c r="C189" i="2"/>
  <c r="F189" i="6" l="1"/>
  <c r="C189" i="6"/>
  <c r="D190" i="2"/>
  <c r="B190" i="2"/>
  <c r="E189" i="2"/>
  <c r="B190" i="6" l="1"/>
  <c r="D190" i="6"/>
  <c r="E189" i="6"/>
  <c r="F190" i="2"/>
  <c r="C190" i="2"/>
  <c r="D191" i="2" l="1"/>
  <c r="B191" i="2"/>
  <c r="E190" i="2"/>
  <c r="C190" i="6"/>
  <c r="F190" i="6"/>
  <c r="B191" i="6" l="1"/>
  <c r="D191" i="6"/>
  <c r="E190" i="6"/>
  <c r="C191" i="2"/>
  <c r="F191" i="2"/>
  <c r="D192" i="2" l="1"/>
  <c r="B192" i="2"/>
  <c r="E191" i="2"/>
  <c r="C191" i="6"/>
  <c r="F191" i="6"/>
  <c r="C192" i="2" l="1"/>
  <c r="F192" i="2"/>
  <c r="D192" i="6"/>
  <c r="B192" i="6"/>
  <c r="E191" i="6"/>
  <c r="C192" i="6" l="1"/>
  <c r="F192" i="6"/>
  <c r="D193" i="2"/>
  <c r="B193" i="2"/>
  <c r="E192" i="2"/>
  <c r="F193" i="2" l="1"/>
  <c r="C193" i="2"/>
  <c r="D193" i="6"/>
  <c r="B193" i="6"/>
  <c r="E192" i="6"/>
  <c r="F193" i="6" l="1"/>
  <c r="C193" i="6"/>
  <c r="D194" i="2"/>
  <c r="B194" i="2"/>
  <c r="E193" i="2"/>
  <c r="F194" i="2" l="1"/>
  <c r="C194" i="2"/>
  <c r="B194" i="6"/>
  <c r="D194" i="6"/>
  <c r="E193" i="6"/>
  <c r="D195" i="2" l="1"/>
  <c r="B195" i="2"/>
  <c r="E194" i="2"/>
  <c r="F194" i="6"/>
  <c r="C194" i="6"/>
  <c r="F195" i="2" l="1"/>
  <c r="C195" i="2"/>
  <c r="B195" i="6"/>
  <c r="D195" i="6"/>
  <c r="E194" i="6"/>
  <c r="B196" i="2" l="1"/>
  <c r="D196" i="2"/>
  <c r="E195" i="2"/>
  <c r="C195" i="6"/>
  <c r="F195" i="6"/>
  <c r="D196" i="6" l="1"/>
  <c r="B196" i="6"/>
  <c r="E195" i="6"/>
  <c r="C196" i="2"/>
  <c r="F196" i="2"/>
  <c r="C196" i="6" l="1"/>
  <c r="F196" i="6"/>
  <c r="D197" i="2"/>
  <c r="B197" i="2"/>
  <c r="E196" i="2"/>
  <c r="F197" i="2" l="1"/>
  <c r="C197" i="2"/>
  <c r="D197" i="6"/>
  <c r="B197" i="6"/>
  <c r="E196" i="6"/>
  <c r="F197" i="6" l="1"/>
  <c r="C197" i="6"/>
  <c r="D198" i="2"/>
  <c r="B198" i="2"/>
  <c r="E197" i="2"/>
  <c r="F198" i="2" l="1"/>
  <c r="C198" i="2"/>
  <c r="D198" i="6"/>
  <c r="B198" i="6"/>
  <c r="E197" i="6"/>
  <c r="B199" i="2" l="1"/>
  <c r="D199" i="2"/>
  <c r="E198" i="2"/>
  <c r="C198" i="6"/>
  <c r="F198" i="6"/>
  <c r="D199" i="6" l="1"/>
  <c r="B199" i="6"/>
  <c r="E198" i="6"/>
  <c r="C199" i="2"/>
  <c r="F199" i="2"/>
  <c r="F199" i="6" l="1"/>
  <c r="C199" i="6"/>
  <c r="D200" i="2"/>
  <c r="B200" i="2"/>
  <c r="E199" i="2"/>
  <c r="C200" i="2" l="1"/>
  <c r="F200" i="2"/>
  <c r="D200" i="6"/>
  <c r="B200" i="6"/>
  <c r="E199" i="6"/>
  <c r="C200" i="6" l="1"/>
  <c r="F200" i="6"/>
  <c r="D201" i="2"/>
  <c r="B201" i="2"/>
  <c r="E200" i="2"/>
  <c r="F201" i="2" l="1"/>
  <c r="C201" i="2"/>
  <c r="D201" i="6"/>
  <c r="B201" i="6"/>
  <c r="E200" i="6"/>
  <c r="C201" i="6" l="1"/>
  <c r="F201" i="6"/>
  <c r="D202" i="2"/>
  <c r="B202" i="2"/>
  <c r="E201" i="2"/>
  <c r="C202" i="2" l="1"/>
  <c r="F202" i="2"/>
  <c r="D202" i="6"/>
  <c r="B202" i="6"/>
  <c r="E201" i="6"/>
  <c r="C202" i="6" l="1"/>
  <c r="F202" i="6"/>
  <c r="B203" i="2"/>
  <c r="D203" i="2"/>
  <c r="E202" i="2"/>
  <c r="C203" i="2" l="1"/>
  <c r="F203" i="2"/>
  <c r="B203" i="6"/>
  <c r="D203" i="6"/>
  <c r="E202" i="6"/>
  <c r="C203" i="6" l="1"/>
  <c r="F203" i="6"/>
  <c r="B204" i="2"/>
  <c r="D204" i="2"/>
  <c r="E203" i="2"/>
  <c r="C204" i="2" l="1"/>
  <c r="F204" i="2"/>
  <c r="D204" i="6"/>
  <c r="B204" i="6"/>
  <c r="E203" i="6"/>
  <c r="C204" i="6" l="1"/>
  <c r="F204" i="6"/>
  <c r="B205" i="2"/>
  <c r="D205" i="2"/>
  <c r="E204" i="2"/>
  <c r="F205" i="2" l="1"/>
  <c r="C205" i="2"/>
  <c r="E205" i="2" s="1"/>
  <c r="B205" i="6"/>
  <c r="D205" i="6"/>
  <c r="E204" i="6"/>
  <c r="C205" i="6" l="1"/>
  <c r="E205" i="6" s="1"/>
  <c r="F205" i="6"/>
  <c r="N4" i="3"/>
  <c r="Q4" i="3"/>
  <c r="B7" i="3"/>
  <c r="C7" i="3"/>
  <c r="G7" i="3"/>
  <c r="I7" i="3"/>
  <c r="J7" i="3"/>
  <c r="K7" i="3"/>
  <c r="B8" i="3"/>
  <c r="C8" i="3"/>
  <c r="D8" i="3"/>
  <c r="I8" i="3"/>
  <c r="K8" i="3"/>
  <c r="B9" i="3"/>
  <c r="C9" i="3"/>
  <c r="D9" i="3"/>
  <c r="I9" i="3"/>
  <c r="K9" i="3"/>
  <c r="B10" i="3"/>
  <c r="C10" i="3"/>
  <c r="D10" i="3"/>
  <c r="I10" i="3"/>
  <c r="K10" i="3"/>
  <c r="B11" i="3"/>
  <c r="C11" i="3"/>
  <c r="D11" i="3"/>
  <c r="I11" i="3"/>
  <c r="K11" i="3"/>
  <c r="B12" i="3"/>
  <c r="C12" i="3"/>
  <c r="D12" i="3"/>
  <c r="I12" i="3"/>
  <c r="K12" i="3"/>
  <c r="B13" i="3"/>
  <c r="C13" i="3"/>
  <c r="D13" i="3"/>
  <c r="I13" i="3"/>
  <c r="K13" i="3"/>
  <c r="B14" i="3"/>
  <c r="C14" i="3"/>
  <c r="D14" i="3"/>
  <c r="I14" i="3"/>
  <c r="K14" i="3"/>
  <c r="B15" i="3"/>
  <c r="C15" i="3"/>
  <c r="D15" i="3"/>
  <c r="I15" i="3"/>
  <c r="K15" i="3"/>
  <c r="B16" i="3"/>
  <c r="C16" i="3"/>
  <c r="D16" i="3"/>
  <c r="I16" i="3"/>
  <c r="K16" i="3"/>
  <c r="B17" i="3"/>
  <c r="C17" i="3"/>
  <c r="D17" i="3"/>
  <c r="I17" i="3"/>
  <c r="K17" i="3"/>
  <c r="B18" i="3"/>
  <c r="C18" i="3"/>
  <c r="D18" i="3"/>
  <c r="I18" i="3"/>
  <c r="K18" i="3"/>
  <c r="B19" i="3"/>
  <c r="C19" i="3"/>
  <c r="D19" i="3"/>
  <c r="I19" i="3"/>
  <c r="K19" i="3"/>
  <c r="B20" i="3"/>
  <c r="C20" i="3"/>
  <c r="D20" i="3"/>
  <c r="I20" i="3"/>
  <c r="K20" i="3"/>
  <c r="B21" i="3"/>
  <c r="C21" i="3"/>
  <c r="D21" i="3"/>
  <c r="I21" i="3"/>
  <c r="K21" i="3"/>
  <c r="B22" i="3"/>
  <c r="C22" i="3"/>
  <c r="D22" i="3"/>
  <c r="I22" i="3"/>
  <c r="K22" i="3"/>
  <c r="B23" i="3"/>
  <c r="C23" i="3"/>
  <c r="D23" i="3"/>
  <c r="I23" i="3"/>
  <c r="K23" i="3"/>
  <c r="B24" i="3"/>
  <c r="C24" i="3"/>
  <c r="D24" i="3"/>
  <c r="I24" i="3"/>
  <c r="K24" i="3"/>
  <c r="B25" i="3"/>
  <c r="C25" i="3"/>
  <c r="D25" i="3"/>
  <c r="I25" i="3"/>
  <c r="K25" i="3"/>
  <c r="B26" i="3"/>
  <c r="C26" i="3"/>
  <c r="D26" i="3"/>
  <c r="I26" i="3"/>
  <c r="K26" i="3"/>
  <c r="B27" i="3"/>
  <c r="C27" i="3"/>
  <c r="D27" i="3"/>
  <c r="I27" i="3"/>
  <c r="K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B44" i="3"/>
  <c r="C44" i="3"/>
  <c r="D44" i="3"/>
  <c r="B45" i="3"/>
  <c r="C45" i="3"/>
  <c r="D45" i="3"/>
  <c r="B46" i="3"/>
  <c r="C46" i="3"/>
  <c r="D46" i="3"/>
  <c r="A7" i="4"/>
  <c r="B7" i="4"/>
  <c r="C7" i="4"/>
  <c r="D7" i="4"/>
  <c r="E7" i="4"/>
  <c r="F7" i="4"/>
  <c r="G7" i="4"/>
  <c r="H7" i="4"/>
  <c r="I7" i="4"/>
  <c r="J7" i="4"/>
  <c r="K7" i="4"/>
  <c r="L7" i="4"/>
  <c r="M7" i="4"/>
  <c r="N7" i="4"/>
  <c r="I9"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s>
  <commentList>
    <comment ref="H4" authorId="0" shapeId="0">
      <text>
        <r>
          <rPr>
            <b/>
            <sz val="8"/>
            <color indexed="81"/>
            <rFont val="Tahoma"/>
            <family val="2"/>
            <charset val="204"/>
          </rPr>
          <t xml:space="preserve">ten_IG:
</t>
        </r>
        <r>
          <rPr>
            <sz val="8"/>
            <color indexed="81"/>
            <rFont val="Tahoma"/>
            <family val="2"/>
            <charset val="204"/>
          </rPr>
          <t>The Pocket search method can be used by any Initial step size.
Because it's value can be choosed by best for the optimization problem.</t>
        </r>
      </text>
    </comment>
  </commentList>
</comments>
</file>

<file path=xl/comments3.xml><?xml version="1.0" encoding="utf-8"?>
<comments xmlns="http://schemas.openxmlformats.org/spreadsheetml/2006/main">
  <authors>
    <author>ten_IG</author>
  </authors>
  <commentList>
    <comment ref="H4" authorId="0" shapeId="0">
      <text>
        <r>
          <rPr>
            <b/>
            <sz val="8"/>
            <color indexed="81"/>
            <rFont val="Tahoma"/>
            <family val="2"/>
            <charset val="204"/>
          </rPr>
          <t xml:space="preserve">ten_IG:
</t>
        </r>
        <r>
          <rPr>
            <sz val="8"/>
            <color indexed="81"/>
            <rFont val="Tahoma"/>
            <family val="2"/>
            <charset val="204"/>
          </rPr>
          <t>The Pocket search method can be used by any Initial step size.
Because it's value can be choosed by best for the optimization problem.</t>
        </r>
      </text>
    </comment>
  </commentList>
</comments>
</file>

<file path=xl/comments4.xml><?xml version="1.0" encoding="utf-8"?>
<comments xmlns="http://schemas.openxmlformats.org/spreadsheetml/2006/main">
  <authors>
    <author>ten_IG</author>
    <author>Admin</author>
  </authors>
  <commentList>
    <comment ref="E7" authorId="0" shapeId="0">
      <text>
        <r>
          <rPr>
            <b/>
            <sz val="8"/>
            <color indexed="81"/>
            <rFont val="Tahoma"/>
            <family val="2"/>
            <charset val="204"/>
          </rPr>
          <t>ten_IG:</t>
        </r>
        <r>
          <rPr>
            <sz val="8"/>
            <color indexed="81"/>
            <rFont val="Tahoma"/>
            <family val="2"/>
            <charset val="204"/>
          </rPr>
          <t xml:space="preserve">
E7=IF(K4=1,INDEX(H7:H27,L4),IF(K4=2,L5,IF(E7&lt;2,E7+$K$5,E7))).
Расшифровка алгоритма:
If K4=1 идет сканирование вручную путем перебора значений SIGMA в ячейке E7 с помощью обьекта LIST BOX;
If K4=2 идет сканирование автоматически, если нажать на кнопку "Automatic Scanning the List of Sigma Values";
If K4=3 идет автоматическое сканирование.</t>
        </r>
      </text>
    </comment>
    <comment ref="F7" authorId="0" shapeId="0">
      <text>
        <r>
          <rPr>
            <b/>
            <sz val="8"/>
            <color indexed="81"/>
            <rFont val="Tahoma"/>
            <family val="2"/>
            <charset val="204"/>
          </rPr>
          <t>ten_IG:</t>
        </r>
        <r>
          <rPr>
            <sz val="8"/>
            <color indexed="81"/>
            <rFont val="Tahoma"/>
            <family val="2"/>
            <charset val="204"/>
          </rPr>
          <t xml:space="preserve">
Insert the optimal solution of your problem!</t>
        </r>
      </text>
    </comment>
    <comment ref="G28" authorId="1" shapeId="0">
      <text>
        <r>
          <rPr>
            <b/>
            <sz val="9"/>
            <color indexed="81"/>
            <rFont val="Tahoma"/>
            <family val="2"/>
            <charset val="204"/>
          </rPr>
          <t>Admin:</t>
        </r>
        <r>
          <rPr>
            <sz val="9"/>
            <color indexed="81"/>
            <rFont val="Tahoma"/>
            <family val="2"/>
            <charset val="204"/>
          </rPr>
          <t xml:space="preserve">
Tip for student:
1_You must set the Pocket Search Parameter's such as following: h0 and R of the Program implementing PSM optimization in the SHEET4. // Вы должны установить значения параметров PSM такие как:  h0 и R в программу, реализующую PSM на вкладке SHEET4.
2_Run the Program implementing PSM optimization in the SHEET4. Perform more than or equal 100 iterations by choosing corresponding values of the parameters of the PSM such as "Tolerance" and "Intial Price". // Запустите программу, реализующую метод PSM на вкладке SHEET4. Выполните не менее 100 итераций путем подбора соответсвующих значений параметров таких как "Tolerance" и "Intial Price".
3_Set in the cell SHEET3!F7 optimal solution of your problem. // Установите в ячейке SHEET3!F7 оптимальное решение вашей задачи оптимизации.
4_Set the value of the SIGMA sequentially from 1.00 to 2.00 with the step size equal 0.05 in the cell SHEET3!E7. The "LIST" is a control element of the FORM of the tool Microsoft Excel is allocated to provide the operations. // Установите значения параметра SIGMA в ячейке SHEET3!E7 последовательно от 1.00 до 2.00 с шагом 0.05. Элемент контроля ФОРМЫ "LIST" инструментального средства Microsoft Excel размещен чтобы облегчить эти операции.
5_The program in the Table 6.6. "Program to calculate the Convergence Speed of the Pocket Search Method" will determine a SIGMA value by colloring the row in the table. // Программа в Таблице 6.6 "Программа для вычисления СКОРОСТИ СХОДИМОСТИ МЕТОДА ПОРАЗРЯДНОГО ПОИСКА" будет определять значение SIGMA, подсвечивая зеленным цветом строчку в этой таблице.
6_Write down the defined SIGMA value in the corresponding row (for given parameters: h0 and R) of the Table 6.7. // Запишите это значение параметра SIGMA в соответсвующую строчку (для заданных значений параметров: h0 и R) в Table 6.7.
7_Such a study (associated with the selection or enumeration of the values ​​of the parameters h0 and R) should be carried out until you determine such values ​​of these parameters h0 and R, which provide the value of the parameter SIGMA=2. // Такое исследование (связанное с подбором или перебором значений параметров h0 and R) надо проводить до тех пор пока вы не определите такие значение этих параметров h0 and R, которые обеспечивают значение параметра SIGMA=2.
</t>
        </r>
      </text>
    </comment>
  </commentList>
</comments>
</file>

<file path=xl/comments5.xml><?xml version="1.0" encoding="utf-8"?>
<comments xmlns="http://schemas.openxmlformats.org/spreadsheetml/2006/main">
  <authors>
    <author>ten_IG</author>
  </authors>
  <commentList>
    <comment ref="L4" authorId="0" shapeId="0">
      <text>
        <r>
          <rPr>
            <b/>
            <sz val="8"/>
            <color indexed="81"/>
            <rFont val="Tahoma"/>
            <family val="2"/>
            <charset val="204"/>
          </rPr>
          <t>ten_IG:</t>
        </r>
        <r>
          <rPr>
            <sz val="8"/>
            <color indexed="81"/>
            <rFont val="Tahoma"/>
            <family val="2"/>
            <charset val="204"/>
          </rPr>
          <t xml:space="preserve">
The Pocret search method can be haved any Initial step size.
Because it's value can be choiced by best for the optimization problem.</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6.xml><?xml version="1.0" encoding="utf-8"?>
<comments xmlns="http://schemas.openxmlformats.org/spreadsheetml/2006/main">
  <authors>
    <author>Администратор</author>
  </authors>
  <commentList>
    <comment ref="H11" authorId="0" shapeId="0">
      <text>
        <r>
          <rPr>
            <b/>
            <sz val="8"/>
            <color indexed="81"/>
            <rFont val="Tahoma"/>
            <family val="2"/>
            <charset val="204"/>
          </rPr>
          <t>tenig:
The Pocret search method can be haved any Initial step size.
Because it's value can be choiced by best for the optimization problem.</t>
        </r>
      </text>
    </comment>
    <comment ref="H25" authorId="0" shapeId="0">
      <text>
        <r>
          <rPr>
            <b/>
            <sz val="8"/>
            <color indexed="81"/>
            <rFont val="Tahoma"/>
            <family val="2"/>
            <charset val="204"/>
          </rPr>
          <t>tenig:
 In the Pocket Search Method the value of parameter h0 is to be picked up particular way that the value of the k would be less than 500. 
Then into the below cells the formula is to entered:
«The previous value h0 " + " Some constant number from cell I39 ".</t>
        </r>
      </text>
    </comment>
    <comment ref="H62" authorId="0" shapeId="0">
      <text>
        <r>
          <rPr>
            <b/>
            <sz val="8"/>
            <color indexed="81"/>
            <rFont val="Tahoma"/>
            <family val="2"/>
            <charset val="204"/>
          </rPr>
          <t>tenig:
The Pocket Search Method can be haved any Initial Step Size.
Because it's value can be choiced from the best for the optimization problem.</t>
        </r>
      </text>
    </comment>
    <comment ref="H123" authorId="0" shapeId="0">
      <text>
        <r>
          <rPr>
            <b/>
            <sz val="8"/>
            <color indexed="81"/>
            <rFont val="Tahoma"/>
            <family val="2"/>
            <charset val="204"/>
          </rPr>
          <t>tenig:
The Pocret search method can be haved any Initial step size.
Because it's value can be choiced by best for the optimization problem.</t>
        </r>
      </text>
    </comment>
  </commentList>
</comments>
</file>

<file path=xl/sharedStrings.xml><?xml version="1.0" encoding="utf-8"?>
<sst xmlns="http://schemas.openxmlformats.org/spreadsheetml/2006/main" count="175" uniqueCount="92">
  <si>
    <t>№</t>
  </si>
  <si>
    <t>N</t>
  </si>
  <si>
    <t>R</t>
  </si>
  <si>
    <t>alfa</t>
  </si>
  <si>
    <t>X*</t>
  </si>
  <si>
    <t>sigma</t>
  </si>
  <si>
    <t>List of sigma</t>
  </si>
  <si>
    <t>Min</t>
  </si>
  <si>
    <t>SIGMA</t>
  </si>
  <si>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</si>
  <si>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r>
      <t xml:space="preserve"> h</t>
    </r>
    <r>
      <rPr>
        <b/>
        <vertAlign val="superscript"/>
        <sz val="10"/>
        <rFont val="Arial Cyr"/>
        <charset val="204"/>
      </rPr>
      <t>0</t>
    </r>
  </si>
  <si>
    <r>
      <t>abs((A</t>
    </r>
    <r>
      <rPr>
        <b/>
        <vertAlign val="subscript"/>
        <sz val="10"/>
        <rFont val="Arial Cyr"/>
        <charset val="204"/>
      </rPr>
      <t>k</t>
    </r>
    <r>
      <rPr>
        <b/>
        <sz val="10"/>
        <rFont val="Arial Cyr"/>
        <charset val="204"/>
      </rPr>
      <t>-A</t>
    </r>
    <r>
      <rPr>
        <b/>
        <vertAlign val="subscript"/>
        <sz val="10"/>
        <rFont val="Arial Cyr"/>
        <charset val="204"/>
      </rPr>
      <t>k+1</t>
    </r>
    <r>
      <rPr>
        <b/>
        <sz val="10"/>
        <rFont val="Arial Cyr"/>
        <charset val="204"/>
      </rPr>
      <t>)/Ak)</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</si>
  <si>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</si>
  <si>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</si>
  <si>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</si>
  <si>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</si>
  <si>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</si>
  <si>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</si>
  <si>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</si>
  <si>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It is a sample</t>
  </si>
  <si>
    <r>
      <t xml:space="preserve">Laboratory works #_6: Investigate the </t>
    </r>
    <r>
      <rPr>
        <b/>
        <sz val="12"/>
        <rFont val="Arial"/>
        <family val="2"/>
        <charset val="204"/>
      </rPr>
      <t>Pocket</t>
    </r>
    <r>
      <rPr>
        <b/>
        <sz val="14"/>
        <rFont val="Arial"/>
        <family val="2"/>
        <charset val="204"/>
      </rPr>
      <t xml:space="preserve"> search method</t>
    </r>
    <r>
      <rPr>
        <sz val="10"/>
        <rFont val="Arial Cyr"/>
        <charset val="204"/>
      </rPr>
      <t xml:space="preserve"> to solution of Problem #2</t>
    </r>
  </si>
  <si>
    <r>
      <t xml:space="preserve">Problem definition  #_2: Find the maximum of Profit by the Price of market </t>
    </r>
    <r>
      <rPr>
        <b/>
        <sz val="10"/>
        <rFont val="Arial"/>
        <family val="2"/>
        <charset val="204"/>
      </rPr>
      <t>with</t>
    </r>
    <r>
      <rPr>
        <sz val="10"/>
        <rFont val="Arial Cyr"/>
        <charset val="204"/>
      </rPr>
      <t xml:space="preserve"> Constraints.</t>
    </r>
  </si>
  <si>
    <t>Profit=Demand*(Price-Cost);  Demand=A/(Price+Price*B)^(2*D); Credit=Cost*Demand; Credit&lt;=Constraint.</t>
  </si>
  <si>
    <r>
      <t>Initial step size h</t>
    </r>
    <r>
      <rPr>
        <vertAlign val="superscript"/>
        <sz val="8"/>
        <rFont val="Arial Cyr"/>
        <charset val="204"/>
      </rPr>
      <t>0</t>
    </r>
  </si>
  <si>
    <t>Program start</t>
  </si>
  <si>
    <t>Number of iterations</t>
  </si>
  <si>
    <t>Price</t>
  </si>
  <si>
    <t>Demand</t>
  </si>
  <si>
    <t>Profit</t>
  </si>
  <si>
    <t>Credit</t>
  </si>
  <si>
    <t>Credit- Constraint</t>
  </si>
  <si>
    <r>
      <t>h</t>
    </r>
    <r>
      <rPr>
        <vertAlign val="superscript"/>
        <sz val="8"/>
        <rFont val="Arial Cyr"/>
        <charset val="204"/>
      </rPr>
      <t>k</t>
    </r>
  </si>
  <si>
    <t>Report by searching process state</t>
  </si>
  <si>
    <t>Optimum Price</t>
  </si>
  <si>
    <t>Optimum Demand</t>
  </si>
  <si>
    <t>Optimum Profit</t>
  </si>
  <si>
    <t>Optimum Credit</t>
  </si>
  <si>
    <t>Optimal Credit-Constraint</t>
  </si>
  <si>
    <t>Amount of iterations</t>
  </si>
  <si>
    <t>The tasks on laboratory work:</t>
  </si>
  <si>
    <r>
      <t>(i) Investigate the Dependences of Amount of Iterations with Respect to Tolerance, Initial Price, Initial Step Size h</t>
    </r>
    <r>
      <rPr>
        <vertAlign val="superscript"/>
        <sz val="12"/>
        <rFont val="Times New Roman"/>
        <family val="1"/>
        <charset val="204"/>
      </rPr>
      <t>0</t>
    </r>
    <r>
      <rPr>
        <sz val="12"/>
        <rFont val="Times New Roman"/>
        <family val="1"/>
        <charset val="204"/>
      </rPr>
      <t>, and Parameter R, respectively.</t>
    </r>
  </si>
  <si>
    <r>
      <t>(ii) Find the best ranges  of adjusted parameters values such as h</t>
    </r>
    <r>
      <rPr>
        <vertAlign val="superscript"/>
        <sz val="12"/>
        <rFont val="Times New Roman"/>
        <family val="1"/>
        <charset val="204"/>
      </rPr>
      <t>0</t>
    </r>
    <r>
      <rPr>
        <sz val="12"/>
        <rFont val="Times New Roman"/>
        <family val="1"/>
        <charset val="204"/>
      </rPr>
      <t xml:space="preserve"> and R.</t>
    </r>
  </si>
  <si>
    <t>(iii) These dependences as functions must be plotted (or graphed) in Figure 6.1 through Figure 6.4 respectively.</t>
  </si>
  <si>
    <t>(iv) Determine the Speed of Convergence "SC" and Asymptotic Error Constant "A".</t>
  </si>
  <si>
    <t>Table 6.1: The Dependence of Amount of Iterations with Respect to Tolerance.</t>
  </si>
  <si>
    <t>Amount of iteration</t>
  </si>
  <si>
    <r>
      <t>Initial Step size h</t>
    </r>
    <r>
      <rPr>
        <b/>
        <vertAlign val="superscript"/>
        <sz val="10"/>
        <rFont val="Arial Cyr"/>
      </rPr>
      <t>0</t>
    </r>
  </si>
  <si>
    <t>Initial Price</t>
  </si>
  <si>
    <t>Search domain size= [Initial Price- Optimum Price]</t>
  </si>
  <si>
    <t>Parameter R</t>
  </si>
  <si>
    <r>
      <t>Table 6.2: The Dependence of Amount of Iterations with Respect to Initial Step Size h</t>
    </r>
    <r>
      <rPr>
        <b/>
        <vertAlign val="superscript"/>
        <sz val="10"/>
        <rFont val="Arial"/>
        <family val="2"/>
        <charset val="204"/>
      </rPr>
      <t>0</t>
    </r>
    <r>
      <rPr>
        <b/>
        <sz val="10"/>
        <rFont val="Arial"/>
        <family val="2"/>
        <charset val="204"/>
      </rPr>
      <t>.</t>
    </r>
  </si>
  <si>
    <t>Table 6.3: The Dependence of Amount of Iterations with Respect to Initial Price.</t>
  </si>
  <si>
    <t>Table 6.4: The Dependence of Amount of Iterations with Respect to Parameter R.</t>
  </si>
  <si>
    <t>Limit of Credit Value</t>
  </si>
  <si>
    <t>k</t>
  </si>
  <si>
    <t xml:space="preserve">f(x)=[exp(x)-2-x]^2 </t>
  </si>
  <si>
    <t>Min f(x)</t>
  </si>
  <si>
    <t>Max f(x)</t>
  </si>
  <si>
    <t>a</t>
  </si>
  <si>
    <t>b</t>
  </si>
  <si>
    <t>x*(arg minf(x))</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</si>
  <si>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</si>
  <si>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</si>
  <si>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</si>
  <si>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Max_f(x</t>
    </r>
    <r>
      <rPr>
        <b/>
        <vertAlign val="superscript"/>
        <sz val="8"/>
        <rFont val="Arial"/>
        <family val="2"/>
        <charset val="204"/>
      </rPr>
      <t>k</t>
    </r>
    <r>
      <rPr>
        <b/>
        <sz val="8"/>
        <rFont val="Arial"/>
        <family val="2"/>
        <charset val="204"/>
      </rPr>
      <t>) – f(x</t>
    </r>
    <r>
      <rPr>
        <b/>
        <vertAlign val="superscript"/>
        <sz val="8"/>
        <rFont val="Arial"/>
        <family val="2"/>
        <charset val="204"/>
      </rPr>
      <t>k</t>
    </r>
    <r>
      <rPr>
        <b/>
        <sz val="8"/>
        <rFont val="Arial"/>
        <family val="2"/>
        <charset val="204"/>
      </rPr>
      <t>)</t>
    </r>
  </si>
  <si>
    <r>
      <t>abs(x</t>
    </r>
    <r>
      <rPr>
        <b/>
        <vertAlign val="superscript"/>
        <sz val="10"/>
        <rFont val="Arial"/>
        <family val="2"/>
        <charset val="204"/>
      </rPr>
      <t>k</t>
    </r>
    <r>
      <rPr>
        <b/>
        <sz val="10"/>
        <rFont val="Arial"/>
        <family val="2"/>
        <charset val="204"/>
      </rPr>
      <t>-x</t>
    </r>
    <r>
      <rPr>
        <b/>
        <vertAlign val="superscript"/>
        <sz val="10"/>
        <rFont val="Arial"/>
        <family val="2"/>
        <charset val="204"/>
      </rPr>
      <t>k-1</t>
    </r>
    <r>
      <rPr>
        <b/>
        <sz val="10"/>
        <rFont val="Arial"/>
        <family val="2"/>
        <charset val="204"/>
      </rPr>
      <t>)</t>
    </r>
  </si>
  <si>
    <r>
      <t>Initial step size h</t>
    </r>
    <r>
      <rPr>
        <b/>
        <vertAlign val="superscript"/>
        <sz val="8"/>
        <rFont val="Arial Cyr"/>
        <charset val="204"/>
      </rPr>
      <t>0</t>
    </r>
  </si>
  <si>
    <r>
      <t>f(x</t>
    </r>
    <r>
      <rPr>
        <b/>
        <vertAlign val="superscript"/>
        <sz val="8"/>
        <rFont val="Arial"/>
        <family val="2"/>
        <charset val="204"/>
      </rPr>
      <t>k</t>
    </r>
    <r>
      <rPr>
        <b/>
        <sz val="8"/>
        <rFont val="Arial"/>
        <family val="2"/>
        <charset val="204"/>
      </rPr>
      <t>)-Max{f(xk)}</t>
    </r>
  </si>
  <si>
    <r>
      <t>x</t>
    </r>
    <r>
      <rPr>
        <b/>
        <vertAlign val="superscript"/>
        <sz val="8"/>
        <rFont val="Arial"/>
        <family val="2"/>
        <charset val="204"/>
      </rPr>
      <t>k</t>
    </r>
  </si>
  <si>
    <r>
      <t>f(x</t>
    </r>
    <r>
      <rPr>
        <b/>
        <vertAlign val="superscript"/>
        <sz val="8"/>
        <rFont val="Arial"/>
        <family val="2"/>
        <charset val="204"/>
      </rPr>
      <t>k</t>
    </r>
    <r>
      <rPr>
        <b/>
        <sz val="8"/>
        <rFont val="Arial"/>
        <family val="2"/>
        <charset val="204"/>
      </rPr>
      <t>)</t>
    </r>
  </si>
  <si>
    <r>
      <t xml:space="preserve">Exercise 6.1 Use  the Pocket Search method to  find the local </t>
    </r>
    <r>
      <rPr>
        <b/>
        <u/>
        <sz val="10"/>
        <rFont val="Arial"/>
        <family val="2"/>
        <charset val="204"/>
      </rPr>
      <t>maximum</t>
    </r>
    <r>
      <rPr>
        <b/>
        <sz val="10"/>
        <rFont val="Arial"/>
        <family val="2"/>
        <charset val="204"/>
      </rPr>
      <t xml:space="preserve"> of given objective function</t>
    </r>
  </si>
  <si>
    <t>Table 6.8-2 Pocket Search Method for finding the maximum of the objective function</t>
  </si>
  <si>
    <t>Table 6.8-2 Complete Enumeration method of optimization</t>
  </si>
  <si>
    <r>
      <t xml:space="preserve">Exercise 6.1 Use  the Pocket Search method to  find the local </t>
    </r>
    <r>
      <rPr>
        <b/>
        <u/>
        <sz val="10"/>
        <rFont val="Arial"/>
        <family val="2"/>
        <charset val="204"/>
      </rPr>
      <t>minimum</t>
    </r>
    <r>
      <rPr>
        <b/>
        <sz val="10"/>
        <rFont val="Arial"/>
        <family val="2"/>
        <charset val="204"/>
      </rPr>
      <t xml:space="preserve"> of given objective function</t>
    </r>
  </si>
  <si>
    <t>Table 6.8-2 Pocket Search Method for finding the minimum of the objective function</t>
  </si>
  <si>
    <t>1: "Manual Scanning the List of Sigma Values"</t>
  </si>
  <si>
    <t>2: Click on Button "Automatic Scanning the List of Sigma Values"</t>
  </si>
  <si>
    <t>3: "Automatic Scanning the List of Sigma Values" by Alg_3</t>
  </si>
  <si>
    <t>Table 6.5 Initial data to calculate the Convergence Speed of the Pocket Search Method</t>
  </si>
  <si>
    <t>Table 6.6. Program to calculate the Convergence Speed of the Pocket Search Method</t>
  </si>
  <si>
    <t xml:space="preserve">Initialize the Programe
</t>
  </si>
  <si>
    <t>The program implementing the Pocket Search method</t>
  </si>
  <si>
    <t>Price(k)</t>
  </si>
  <si>
    <r>
      <t>Error: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</si>
  <si>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t>Table 6.7. Investigation of the Dependence a Speed of Convergence with respect to Pocket Search Method Parameter's Values</t>
  </si>
  <si>
    <t>Parameters of the Market Model's for laboratory works on the subject Methods of Optimization</t>
  </si>
  <si>
    <r>
      <t xml:space="preserve">Table 1: The list of the </t>
    </r>
    <r>
      <rPr>
        <b/>
        <i/>
        <sz val="10"/>
        <color rgb="FFFF0000"/>
        <rFont val="Arial Cyr"/>
        <charset val="204"/>
      </rPr>
      <t>Commodity Market Model's Parameters of the Optimization Problems</t>
    </r>
    <r>
      <rPr>
        <sz val="10"/>
        <rFont val="Arial Cyr"/>
        <charset val="204"/>
      </rPr>
      <t xml:space="preserve"> allocated among students of the class SE-1-21.</t>
    </r>
  </si>
  <si>
    <t>Name of students from class SE-1-21</t>
  </si>
  <si>
    <t>Imerov Adilhan</t>
  </si>
  <si>
    <t>f(x) - MIN</t>
  </si>
  <si>
    <t>%</t>
  </si>
  <si>
    <t>The conclusion was made automatically:  Pocket Search method has Quadratic Convergence rate at Initial Step Size h⁰ = 9152000 and Parameter R= 10 because the sequence {abs(X*–Xk+1)/abs(X*-Xk)^sigma} converge to the Limit Value of Asymptotic Error Constant A = 1,96251546302279E-05 only at SIGMA =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</si>
</sst>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00"/>
    <numFmt numFmtId="165" formatCode="0.0000"/>
    <numFmt numFmtId="166" formatCode="0.0000E+00"/>
    <numFmt numFmtId="167" formatCode="0.000000E+00"/>
    <numFmt numFmtId="168" formatCode="#,##0.000000"/>
    <numFmt numFmtId="169" formatCode="0.00000"/>
  </numFmts>
  <fonts count="43" x14ac:knownFonts="1">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sz val="14"/>
      <name val="Times New Roman"/>
      <family val="1"/>
      <charset val="204"/>
    </font>
    <font>
      <b/>
      <vertAlign val="superscript"/>
      <sz val="10"/>
      <name val="Arial Cyr"/>
      <charset val="204"/>
    </font>
    <font>
      <sz val="10"/>
      <name val="Arial"/>
      <family val="2"/>
      <charset val="204"/>
    </font>
    <font>
      <vertAlign val="subscript"/>
      <sz val="8"/>
      <name val="Arial Cyr"/>
      <charset val="204"/>
    </font>
    <font>
      <sz val="12"/>
      <name val="Times New Roman"/>
      <family val="1"/>
      <charset val="204"/>
    </font>
    <font>
      <b/>
      <sz val="10"/>
      <name val="Arial"/>
      <family val="2"/>
    </font>
    <font>
      <sz val="8"/>
      <name val="Arial"/>
      <family val="2"/>
      <charset val="204"/>
    </font>
    <font>
      <b/>
      <sz val="12"/>
      <name val="Arial"/>
      <family val="2"/>
      <charset val="204"/>
    </font>
    <font>
      <b/>
      <sz val="14"/>
      <name val="Arial"/>
      <family val="2"/>
      <charset val="204"/>
    </font>
    <font>
      <b/>
      <sz val="10"/>
      <name val="Arial"/>
      <family val="2"/>
      <charset val="204"/>
    </font>
    <font>
      <sz val="8"/>
      <name val="Arial"/>
      <family val="2"/>
      <charset val="204"/>
    </font>
    <font>
      <sz val="10"/>
      <name val="Arial"/>
      <family val="2"/>
    </font>
    <font>
      <b/>
      <sz val="12"/>
      <name val="Times New Roman"/>
      <family val="1"/>
      <charset val="204"/>
    </font>
    <font>
      <vertAlign val="superscript"/>
      <sz val="12"/>
      <name val="Times New Roman"/>
      <family val="1"/>
      <charset val="204"/>
    </font>
    <font>
      <b/>
      <vertAlign val="superscript"/>
      <sz val="10"/>
      <name val="Arial Cyr"/>
    </font>
    <font>
      <b/>
      <vertAlign val="superscript"/>
      <sz val="10"/>
      <name val="Arial"/>
      <family val="2"/>
      <charset val="204"/>
    </font>
    <font>
      <b/>
      <u/>
      <sz val="10"/>
      <name val="Arial"/>
      <family val="2"/>
      <charset val="204"/>
    </font>
    <font>
      <b/>
      <sz val="8"/>
      <name val="Arial"/>
      <family val="2"/>
      <charset val="204"/>
    </font>
    <font>
      <b/>
      <vertAlign val="superscript"/>
      <sz val="8"/>
      <name val="Arial"/>
      <family val="2"/>
      <charset val="204"/>
    </font>
    <font>
      <b/>
      <sz val="10"/>
      <name val="Arial"/>
      <family val="2"/>
      <charset val="204"/>
    </font>
    <font>
      <b/>
      <vertAlign val="superscript"/>
      <sz val="8"/>
      <name val="Arial Cyr"/>
      <charset val="204"/>
    </font>
    <font>
      <sz val="8"/>
      <color indexed="10"/>
      <name val="Arial Cyr"/>
      <charset val="204"/>
    </font>
    <font>
      <sz val="8"/>
      <color indexed="10"/>
      <name val="Arial"/>
      <family val="2"/>
      <charset val="204"/>
    </font>
    <font>
      <sz val="10"/>
      <color indexed="10"/>
      <name val="Arial Cyr"/>
      <charset val="204"/>
    </font>
    <font>
      <sz val="10"/>
      <color rgb="FF000000"/>
      <name val="Arial Cyr"/>
    </font>
    <font>
      <sz val="12"/>
      <color theme="1"/>
      <name val="Calibri"/>
      <family val="2"/>
      <charset val="204"/>
      <scheme val="minor"/>
    </font>
    <font>
      <sz val="11"/>
      <color theme="1"/>
      <name val="Times New Roman"/>
      <family val="1"/>
      <charset val="204"/>
    </font>
    <font>
      <sz val="10"/>
      <name val="Calibri"/>
      <family val="2"/>
      <scheme val="minor"/>
    </font>
    <font>
      <sz val="10"/>
      <name val="Calibri"/>
      <family val="2"/>
      <charset val="204"/>
      <scheme val="minor"/>
    </font>
    <font>
      <b/>
      <i/>
      <sz val="10"/>
      <color rgb="FFFF0000"/>
      <name val="Arial Cyr"/>
      <charset val="204"/>
    </font>
    <font>
      <b/>
      <sz val="16"/>
      <name val="Arial"/>
      <family val="2"/>
    </font>
    <font>
      <b/>
      <sz val="9"/>
      <color indexed="81"/>
      <name val="Tahoma"/>
      <family val="2"/>
      <charset val="204"/>
    </font>
    <font>
      <sz val="9"/>
      <color indexed="81"/>
      <name val="Tahoma"/>
      <family val="2"/>
      <charset val="204"/>
    </font>
  </fonts>
  <fills count="8">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42"/>
        <bgColor indexed="64"/>
      </patternFill>
    </fill>
    <fill>
      <patternFill patternType="solid">
        <fgColor rgb="FFFFFF00"/>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191">
    <xf numFmtId="0" fontId="0" fillId="0" borderId="0" xfId="0"/>
    <xf numFmtId="0" fontId="0" fillId="0" borderId="1" xfId="0" applyBorder="1"/>
    <xf numFmtId="11" fontId="0" fillId="0" borderId="1" xfId="0" applyNumberFormat="1" applyBorder="1"/>
    <xf numFmtId="0" fontId="3" fillId="0" borderId="0" xfId="0" applyFont="1"/>
    <xf numFmtId="0" fontId="0" fillId="0" borderId="1" xfId="0" applyBorder="1" applyProtection="1">
      <protection locked="0"/>
    </xf>
    <xf numFmtId="0" fontId="0" fillId="0" borderId="2" xfId="0" applyBorder="1" applyProtection="1">
      <protection locked="0"/>
    </xf>
    <xf numFmtId="0" fontId="0" fillId="0" borderId="0" xfId="0" applyProtection="1">
      <protection locked="0"/>
    </xf>
    <xf numFmtId="0" fontId="0" fillId="0" borderId="3" xfId="0" applyBorder="1" applyProtection="1">
      <protection locked="0"/>
    </xf>
    <xf numFmtId="1" fontId="0" fillId="0" borderId="3" xfId="0" applyNumberFormat="1" applyFill="1" applyBorder="1" applyAlignment="1" applyProtection="1">
      <protection locked="0"/>
    </xf>
    <xf numFmtId="3" fontId="0" fillId="0" borderId="3" xfId="0" applyNumberFormat="1" applyBorder="1" applyProtection="1">
      <protection locked="0"/>
    </xf>
    <xf numFmtId="0" fontId="2" fillId="0" borderId="4" xfId="0" applyFont="1" applyBorder="1" applyAlignment="1" applyProtection="1">
      <protection locked="0"/>
    </xf>
    <xf numFmtId="3" fontId="0" fillId="0" borderId="1" xfId="0" applyNumberFormat="1" applyBorder="1" applyProtection="1">
      <protection locked="0"/>
    </xf>
    <xf numFmtId="0" fontId="8" fillId="0" borderId="5" xfId="0" applyFont="1" applyBorder="1" applyAlignment="1">
      <alignment horizontal="center" vertical="center" wrapText="1"/>
    </xf>
    <xf numFmtId="0" fontId="0" fillId="0" borderId="6" xfId="0" applyBorder="1"/>
    <xf numFmtId="0" fontId="0" fillId="0" borderId="7" xfId="0" applyBorder="1"/>
    <xf numFmtId="0" fontId="0" fillId="0" borderId="2" xfId="0" applyBorder="1"/>
    <xf numFmtId="0" fontId="0" fillId="0" borderId="8" xfId="0" applyBorder="1" applyProtection="1">
      <protection locked="0"/>
    </xf>
    <xf numFmtId="165" fontId="0" fillId="0" borderId="3" xfId="0" applyNumberFormat="1" applyFill="1" applyBorder="1" applyAlignment="1" applyProtection="1">
      <protection locked="0"/>
    </xf>
    <xf numFmtId="166" fontId="0" fillId="0" borderId="3" xfId="0" applyNumberFormat="1" applyFill="1" applyBorder="1" applyAlignment="1" applyProtection="1">
      <protection locked="0"/>
    </xf>
    <xf numFmtId="1" fontId="0" fillId="0" borderId="3" xfId="0" applyNumberFormat="1" applyBorder="1" applyProtection="1">
      <protection locked="0"/>
    </xf>
    <xf numFmtId="0" fontId="0" fillId="0" borderId="9" xfId="0" applyBorder="1" applyProtection="1">
      <protection locked="0"/>
    </xf>
    <xf numFmtId="0" fontId="0" fillId="0" borderId="6" xfId="0" applyBorder="1" applyProtection="1">
      <protection locked="0"/>
    </xf>
    <xf numFmtId="165" fontId="0" fillId="0" borderId="1" xfId="0" applyNumberFormat="1" applyBorder="1" applyProtection="1">
      <protection locked="0"/>
    </xf>
    <xf numFmtId="166" fontId="0" fillId="0" borderId="1" xfId="0" applyNumberFormat="1" applyBorder="1" applyProtection="1">
      <protection locked="0"/>
    </xf>
    <xf numFmtId="1" fontId="0" fillId="0" borderId="1" xfId="0" applyNumberFormat="1" applyBorder="1" applyProtection="1">
      <protection locked="0"/>
    </xf>
    <xf numFmtId="0" fontId="0" fillId="0" borderId="10" xfId="0" applyBorder="1" applyProtection="1">
      <protection locked="0"/>
    </xf>
    <xf numFmtId="165" fontId="0" fillId="0" borderId="1" xfId="0" applyNumberFormat="1" applyFill="1" applyBorder="1" applyAlignment="1" applyProtection="1">
      <protection locked="0"/>
    </xf>
    <xf numFmtId="166" fontId="0" fillId="0" borderId="1" xfId="0" applyNumberFormat="1" applyFill="1" applyBorder="1" applyAlignment="1" applyProtection="1">
      <protection locked="0"/>
    </xf>
    <xf numFmtId="1" fontId="0" fillId="0" borderId="1" xfId="0" applyNumberFormat="1" applyFill="1" applyBorder="1" applyAlignment="1" applyProtection="1">
      <protection locked="0"/>
    </xf>
    <xf numFmtId="0" fontId="0" fillId="0" borderId="7" xfId="0" applyBorder="1" applyProtection="1">
      <protection locked="0"/>
    </xf>
    <xf numFmtId="165" fontId="0" fillId="0" borderId="2" xfId="0" applyNumberFormat="1" applyBorder="1" applyProtection="1">
      <protection locked="0"/>
    </xf>
    <xf numFmtId="166" fontId="0" fillId="0" borderId="2" xfId="0" applyNumberFormat="1" applyBorder="1" applyProtection="1">
      <protection locked="0"/>
    </xf>
    <xf numFmtId="1" fontId="0" fillId="0" borderId="2" xfId="0" applyNumberFormat="1" applyBorder="1" applyProtection="1">
      <protection locked="0"/>
    </xf>
    <xf numFmtId="0" fontId="0" fillId="0" borderId="11" xfId="0" applyBorder="1" applyProtection="1">
      <protection locked="0"/>
    </xf>
    <xf numFmtId="165" fontId="0" fillId="0" borderId="3" xfId="0" applyNumberFormat="1" applyBorder="1" applyProtection="1">
      <protection locked="0"/>
    </xf>
    <xf numFmtId="166" fontId="0" fillId="0" borderId="3" xfId="0" applyNumberFormat="1" applyBorder="1" applyProtection="1">
      <protection locked="0"/>
    </xf>
    <xf numFmtId="165" fontId="0" fillId="0" borderId="1" xfId="0" applyNumberFormat="1" applyFill="1" applyBorder="1" applyProtection="1">
      <protection locked="0"/>
    </xf>
    <xf numFmtId="166" fontId="0" fillId="0" borderId="1" xfId="0" applyNumberFormat="1" applyFill="1" applyBorder="1" applyProtection="1">
      <protection locked="0"/>
    </xf>
    <xf numFmtId="1" fontId="0" fillId="0" borderId="1" xfId="0" applyNumberFormat="1" applyFill="1" applyBorder="1" applyProtection="1">
      <protection locked="0"/>
    </xf>
    <xf numFmtId="11" fontId="2" fillId="0" borderId="14" xfId="0" applyNumberFormat="1" applyFont="1" applyBorder="1" applyAlignment="1" applyProtection="1">
      <protection locked="0"/>
    </xf>
    <xf numFmtId="165" fontId="1" fillId="2" borderId="14" xfId="0" applyNumberFormat="1" applyFont="1" applyFill="1" applyBorder="1" applyAlignment="1" applyProtection="1">
      <alignment wrapText="1"/>
      <protection locked="0"/>
    </xf>
    <xf numFmtId="166" fontId="2" fillId="2" borderId="14" xfId="0" applyNumberFormat="1" applyFont="1" applyFill="1" applyBorder="1" applyAlignment="1" applyProtection="1">
      <protection locked="0"/>
    </xf>
    <xf numFmtId="166" fontId="0" fillId="2" borderId="14" xfId="0" applyNumberFormat="1" applyFill="1" applyBorder="1" applyAlignment="1" applyProtection="1">
      <protection locked="0"/>
    </xf>
    <xf numFmtId="1" fontId="2" fillId="2" borderId="15" xfId="0" applyNumberFormat="1" applyFont="1" applyFill="1" applyBorder="1" applyAlignment="1" applyProtection="1">
      <protection locked="0"/>
    </xf>
    <xf numFmtId="3" fontId="0" fillId="0" borderId="2" xfId="0" applyNumberFormat="1" applyBorder="1" applyProtection="1">
      <protection locked="0"/>
    </xf>
    <xf numFmtId="11" fontId="2" fillId="3" borderId="14" xfId="0" applyNumberFormat="1" applyFont="1" applyFill="1" applyBorder="1" applyAlignment="1" applyProtection="1">
      <protection locked="0"/>
    </xf>
    <xf numFmtId="11" fontId="2" fillId="3" borderId="14" xfId="0" applyNumberFormat="1" applyFont="1" applyFill="1" applyBorder="1" applyProtection="1">
      <protection locked="0"/>
    </xf>
    <xf numFmtId="0" fontId="0" fillId="0" borderId="8" xfId="0" applyBorder="1"/>
    <xf numFmtId="0" fontId="0" fillId="0" borderId="3" xfId="0" applyBorder="1"/>
    <xf numFmtId="0" fontId="0" fillId="0" borderId="1" xfId="0" applyFill="1" applyBorder="1"/>
    <xf numFmtId="0" fontId="0" fillId="0" borderId="16" xfId="0" applyNumberFormat="1" applyBorder="1" applyProtection="1">
      <protection locked="0"/>
    </xf>
    <xf numFmtId="0" fontId="0" fillId="0" borderId="3" xfId="0" applyNumberFormat="1" applyBorder="1" applyProtection="1">
      <protection locked="0"/>
    </xf>
    <xf numFmtId="0" fontId="0" fillId="0" borderId="1" xfId="0" applyNumberFormat="1" applyBorder="1" applyProtection="1">
      <protection locked="0"/>
    </xf>
    <xf numFmtId="0" fontId="0" fillId="0" borderId="16" xfId="0" applyNumberFormat="1" applyFill="1" applyBorder="1" applyAlignment="1" applyProtection="1">
      <alignment horizontal="center"/>
      <protection locked="0"/>
    </xf>
    <xf numFmtId="0" fontId="10" fillId="0" borderId="0" xfId="0" applyFont="1" applyBorder="1" applyAlignment="1">
      <alignment horizontal="center" wrapText="1"/>
    </xf>
    <xf numFmtId="0" fontId="3" fillId="0" borderId="5"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0" fillId="0" borderId="10" xfId="0" applyBorder="1"/>
    <xf numFmtId="0" fontId="12" fillId="0" borderId="6" xfId="0" applyFont="1" applyBorder="1" applyAlignment="1">
      <alignment horizontal="center"/>
    </xf>
    <xf numFmtId="0" fontId="1" fillId="0" borderId="10" xfId="0" applyFont="1" applyBorder="1"/>
    <xf numFmtId="0" fontId="12" fillId="0" borderId="7" xfId="0" applyFont="1" applyBorder="1" applyAlignment="1">
      <alignment horizontal="center"/>
    </xf>
    <xf numFmtId="0" fontId="1" fillId="0" borderId="11" xfId="0" applyFont="1" applyBorder="1"/>
    <xf numFmtId="0" fontId="0" fillId="0" borderId="11" xfId="0" applyBorder="1"/>
    <xf numFmtId="0" fontId="2" fillId="0" borderId="12" xfId="0" applyFont="1" applyBorder="1" applyAlignment="1">
      <alignment horizontal="center" vertical="center" wrapText="1"/>
    </xf>
    <xf numFmtId="0" fontId="2" fillId="0" borderId="13" xfId="0" applyFont="1" applyFill="1" applyBorder="1" applyAlignment="1">
      <alignment horizontal="center" vertical="center" wrapText="1"/>
    </xf>
    <xf numFmtId="0" fontId="0" fillId="2" borderId="4" xfId="0" applyFill="1" applyBorder="1" applyAlignment="1">
      <alignment wrapText="1"/>
    </xf>
    <xf numFmtId="0" fontId="0" fillId="2" borderId="14" xfId="0" applyFill="1" applyBorder="1" applyAlignment="1">
      <alignment wrapText="1"/>
    </xf>
    <xf numFmtId="0" fontId="0" fillId="2" borderId="15" xfId="0" applyFill="1" applyBorder="1" applyAlignment="1">
      <alignment horizontal="center" vertical="center" wrapText="1"/>
    </xf>
    <xf numFmtId="0" fontId="2" fillId="0" borderId="8" xfId="0" applyFont="1" applyBorder="1" applyAlignment="1">
      <alignment wrapText="1"/>
    </xf>
    <xf numFmtId="0" fontId="2" fillId="0" borderId="3" xfId="0" applyFont="1" applyBorder="1" applyAlignment="1">
      <alignment wrapText="1"/>
    </xf>
    <xf numFmtId="0" fontId="20" fillId="0" borderId="3" xfId="0" applyFont="1" applyBorder="1" applyAlignment="1">
      <alignment wrapText="1"/>
    </xf>
    <xf numFmtId="0" fontId="2" fillId="0" borderId="16" xfId="0" applyFont="1" applyFill="1" applyBorder="1" applyAlignment="1">
      <alignment horizontal="center" wrapText="1"/>
    </xf>
    <xf numFmtId="0" fontId="2" fillId="0" borderId="12" xfId="0" applyFont="1" applyBorder="1" applyAlignment="1">
      <alignment wrapText="1"/>
    </xf>
    <xf numFmtId="0" fontId="21" fillId="0" borderId="3" xfId="0" applyFont="1" applyBorder="1" applyAlignment="1">
      <alignment wrapText="1"/>
    </xf>
    <xf numFmtId="0" fontId="20" fillId="0" borderId="9" xfId="0" applyFont="1" applyBorder="1" applyAlignment="1">
      <alignment wrapText="1"/>
    </xf>
    <xf numFmtId="0" fontId="22" fillId="0" borderId="0" xfId="0" applyFont="1"/>
    <xf numFmtId="0" fontId="14" fillId="0" borderId="0" xfId="0" applyFont="1"/>
    <xf numFmtId="0" fontId="19" fillId="0" borderId="0" xfId="0" applyFont="1"/>
    <xf numFmtId="0" fontId="15" fillId="0" borderId="5" xfId="0" applyFont="1" applyBorder="1" applyAlignment="1">
      <alignment wrapText="1"/>
    </xf>
    <xf numFmtId="0" fontId="15" fillId="0" borderId="12" xfId="0" applyFont="1" applyBorder="1" applyAlignment="1">
      <alignment wrapText="1"/>
    </xf>
    <xf numFmtId="0" fontId="3" fillId="0" borderId="12" xfId="0" applyFont="1" applyBorder="1" applyAlignment="1">
      <alignment wrapText="1"/>
    </xf>
    <xf numFmtId="0" fontId="15" fillId="0" borderId="13" xfId="0" applyFont="1" applyFill="1" applyBorder="1" applyAlignment="1">
      <alignment wrapText="1"/>
    </xf>
    <xf numFmtId="11" fontId="2" fillId="0" borderId="14" xfId="0" applyNumberFormat="1" applyFont="1" applyFill="1" applyBorder="1" applyAlignment="1" applyProtection="1">
      <alignment wrapText="1"/>
      <protection locked="0"/>
    </xf>
    <xf numFmtId="0" fontId="0" fillId="0" borderId="9" xfId="0" applyFill="1" applyBorder="1"/>
    <xf numFmtId="0" fontId="8" fillId="0" borderId="0" xfId="0" applyFont="1"/>
    <xf numFmtId="0" fontId="19" fillId="0" borderId="8" xfId="0" applyFont="1" applyBorder="1" applyAlignment="1">
      <alignment horizontal="center" vertical="center"/>
    </xf>
    <xf numFmtId="0" fontId="19" fillId="0" borderId="3" xfId="0" applyFont="1" applyBorder="1" applyAlignment="1">
      <alignment horizontal="center" vertical="center"/>
    </xf>
    <xf numFmtId="0" fontId="27" fillId="0" borderId="3" xfId="0" applyFont="1" applyBorder="1" applyAlignment="1">
      <alignment horizontal="center" vertical="center"/>
    </xf>
    <xf numFmtId="0" fontId="19" fillId="0" borderId="9" xfId="0" applyFont="1" applyBorder="1" applyAlignment="1">
      <alignment horizontal="center" vertical="center"/>
    </xf>
    <xf numFmtId="0" fontId="29" fillId="0" borderId="8" xfId="0" applyFont="1" applyBorder="1" applyAlignment="1">
      <alignment wrapText="1"/>
    </xf>
    <xf numFmtId="0" fontId="29" fillId="0" borderId="3" xfId="0" applyFont="1" applyBorder="1" applyAlignment="1">
      <alignment wrapText="1"/>
    </xf>
    <xf numFmtId="0" fontId="29" fillId="0" borderId="9" xfId="0" applyFont="1" applyFill="1" applyBorder="1" applyAlignment="1">
      <alignment horizontal="center" vertical="center" wrapText="1"/>
    </xf>
    <xf numFmtId="0" fontId="27" fillId="0" borderId="8" xfId="0" applyFont="1" applyBorder="1" applyAlignment="1">
      <alignment horizontal="center" vertical="center"/>
    </xf>
    <xf numFmtId="0" fontId="27" fillId="0" borderId="3" xfId="0" applyFont="1" applyBorder="1" applyAlignment="1">
      <alignment horizontal="center"/>
    </xf>
    <xf numFmtId="0" fontId="27" fillId="0" borderId="9" xfId="0" applyFont="1" applyBorder="1" applyAlignment="1">
      <alignment horizontal="center"/>
    </xf>
    <xf numFmtId="0" fontId="31" fillId="0" borderId="6" xfId="0" applyFont="1" applyBorder="1"/>
    <xf numFmtId="164" fontId="31" fillId="0" borderId="1" xfId="0" applyNumberFormat="1" applyFont="1" applyBorder="1"/>
    <xf numFmtId="0" fontId="31" fillId="0" borderId="1" xfId="0" applyFont="1" applyBorder="1"/>
    <xf numFmtId="169" fontId="32" fillId="0" borderId="1" xfId="0" applyNumberFormat="1" applyFont="1" applyBorder="1"/>
    <xf numFmtId="0" fontId="33" fillId="0" borderId="10" xfId="0" applyFont="1" applyFill="1" applyBorder="1"/>
    <xf numFmtId="0" fontId="2" fillId="0" borderId="7" xfId="0" applyFont="1" applyFill="1" applyBorder="1" applyAlignment="1" applyProtection="1">
      <alignment horizontal="center" vertical="center"/>
    </xf>
    <xf numFmtId="0" fontId="20" fillId="0" borderId="2" xfId="0" applyFont="1" applyFill="1" applyBorder="1" applyAlignment="1">
      <alignment horizontal="center" vertical="center"/>
    </xf>
    <xf numFmtId="164" fontId="0" fillId="0" borderId="2" xfId="0" applyNumberFormat="1" applyBorder="1"/>
    <xf numFmtId="0" fontId="0" fillId="0"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0" borderId="2" xfId="0" applyBorder="1" applyAlignment="1">
      <alignment horizontal="center"/>
    </xf>
    <xf numFmtId="3" fontId="0" fillId="0" borderId="11" xfId="0" applyNumberFormat="1" applyBorder="1" applyAlignment="1">
      <alignment horizontal="center"/>
    </xf>
    <xf numFmtId="0" fontId="31" fillId="0" borderId="18" xfId="0" applyFont="1" applyBorder="1"/>
    <xf numFmtId="164" fontId="31" fillId="0" borderId="19" xfId="0" applyNumberFormat="1" applyFont="1" applyBorder="1"/>
    <xf numFmtId="0" fontId="31" fillId="0" borderId="19" xfId="0" applyFont="1" applyBorder="1"/>
    <xf numFmtId="169" fontId="32" fillId="0" borderId="2" xfId="0" applyNumberFormat="1" applyFont="1" applyBorder="1"/>
    <xf numFmtId="0" fontId="33" fillId="0" borderId="20" xfId="0" applyFont="1" applyFill="1" applyBorder="1"/>
    <xf numFmtId="0" fontId="0" fillId="3" borderId="21" xfId="0" applyFill="1" applyBorder="1" applyAlignment="1">
      <alignment horizontal="center"/>
    </xf>
    <xf numFmtId="0" fontId="0" fillId="0" borderId="22" xfId="0" applyBorder="1"/>
    <xf numFmtId="164" fontId="0" fillId="0" borderId="22" xfId="0" applyNumberFormat="1" applyBorder="1"/>
    <xf numFmtId="0" fontId="2" fillId="0" borderId="22" xfId="0" applyFont="1" applyBorder="1"/>
    <xf numFmtId="164" fontId="2" fillId="0" borderId="22" xfId="0" applyNumberFormat="1" applyFont="1" applyBorder="1"/>
    <xf numFmtId="169" fontId="16" fillId="0" borderId="22" xfId="0" applyNumberFormat="1" applyFont="1" applyBorder="1"/>
    <xf numFmtId="0" fontId="0" fillId="0" borderId="22" xfId="0" applyFill="1" applyBorder="1"/>
    <xf numFmtId="0" fontId="0" fillId="3" borderId="17" xfId="0" applyFill="1" applyBorder="1"/>
    <xf numFmtId="164" fontId="0" fillId="0" borderId="1" xfId="0" applyNumberFormat="1" applyBorder="1"/>
    <xf numFmtId="0" fontId="2" fillId="0" borderId="1" xfId="0" applyFont="1" applyBorder="1"/>
    <xf numFmtId="169" fontId="16" fillId="0" borderId="1" xfId="0" applyNumberFormat="1" applyFont="1" applyBorder="1"/>
    <xf numFmtId="164" fontId="0" fillId="0" borderId="0" xfId="0" applyNumberFormat="1"/>
    <xf numFmtId="0" fontId="9" fillId="3" borderId="1" xfId="0" applyFont="1" applyFill="1" applyBorder="1"/>
    <xf numFmtId="11" fontId="9"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8"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3" fontId="0" fillId="0" borderId="0" xfId="0" applyNumberFormat="1" applyFill="1" applyBorder="1" applyProtection="1">
      <protection locked="0"/>
    </xf>
    <xf numFmtId="0" fontId="0" fillId="0" borderId="0" xfId="0" applyBorder="1"/>
    <xf numFmtId="0" fontId="14" fillId="0" borderId="0" xfId="0" applyFont="1" applyBorder="1" applyAlignment="1">
      <alignment wrapText="1"/>
    </xf>
    <xf numFmtId="0" fontId="0" fillId="5" borderId="0" xfId="0" applyFill="1" applyBorder="1"/>
    <xf numFmtId="0" fontId="12" fillId="0" borderId="0" xfId="0" applyFont="1" applyBorder="1" applyAlignment="1">
      <alignment horizontal="center"/>
    </xf>
    <xf numFmtId="0" fontId="3" fillId="0" borderId="4" xfId="0" applyFont="1" applyFill="1" applyBorder="1" applyAlignment="1">
      <alignment horizontal="center" wrapText="1"/>
    </xf>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32" xfId="0" applyFont="1" applyFill="1" applyBorder="1" applyAlignment="1">
      <alignment horizontal="center"/>
    </xf>
    <xf numFmtId="0" fontId="3" fillId="3" borderId="20" xfId="0" applyFont="1" applyFill="1" applyBorder="1" applyAlignment="1">
      <alignment horizontal="center"/>
    </xf>
    <xf numFmtId="11" fontId="0" fillId="0" borderId="28" xfId="0" applyNumberFormat="1" applyBorder="1"/>
    <xf numFmtId="0" fontId="12" fillId="0" borderId="33" xfId="0" applyFont="1" applyBorder="1" applyAlignment="1">
      <alignment horizontal="center"/>
    </xf>
    <xf numFmtId="0" fontId="1" fillId="0" borderId="34" xfId="0" applyFont="1" applyBorder="1"/>
    <xf numFmtId="0" fontId="0" fillId="0" borderId="30" xfId="0" applyBorder="1"/>
    <xf numFmtId="0" fontId="3" fillId="0" borderId="31" xfId="0" applyFont="1" applyFill="1" applyBorder="1" applyAlignment="1">
      <alignment horizontal="center" wrapText="1"/>
    </xf>
    <xf numFmtId="0" fontId="3" fillId="0" borderId="31" xfId="0" applyFont="1" applyBorder="1" applyAlignment="1">
      <alignment wrapText="1"/>
    </xf>
    <xf numFmtId="3" fontId="0" fillId="6" borderId="1" xfId="0" applyNumberFormat="1" applyFill="1" applyBorder="1" applyProtection="1">
      <protection locked="0"/>
    </xf>
    <xf numFmtId="0" fontId="0" fillId="6" borderId="31" xfId="0" applyFill="1" applyBorder="1" applyProtection="1">
      <protection locked="0"/>
    </xf>
    <xf numFmtId="0" fontId="0" fillId="0" borderId="0" xfId="0" applyAlignment="1">
      <alignment vertical="distributed" wrapText="1"/>
    </xf>
    <xf numFmtId="0" fontId="0" fillId="0" borderId="9" xfId="0" applyBorder="1"/>
    <xf numFmtId="168" fontId="1" fillId="0" borderId="1" xfId="0" applyNumberFormat="1" applyFont="1" applyFill="1" applyBorder="1" applyProtection="1">
      <protection hidden="1"/>
    </xf>
    <xf numFmtId="167" fontId="1" fillId="0" borderId="1" xfId="0" applyNumberFormat="1" applyFont="1" applyFill="1" applyBorder="1" applyProtection="1">
      <protection hidden="1"/>
    </xf>
    <xf numFmtId="11" fontId="0" fillId="0" borderId="0" xfId="0" applyNumberFormat="1"/>
    <xf numFmtId="167" fontId="0" fillId="0" borderId="1" xfId="0" applyNumberFormat="1" applyBorder="1"/>
    <xf numFmtId="0" fontId="35" fillId="0" borderId="1" xfId="0" applyFont="1" applyBorder="1" applyAlignment="1">
      <alignment vertical="center" wrapText="1"/>
    </xf>
    <xf numFmtId="0" fontId="36" fillId="0" borderId="1" xfId="0" applyFont="1" applyBorder="1" applyAlignment="1">
      <alignment vertical="center" wrapText="1"/>
    </xf>
    <xf numFmtId="0" fontId="37" fillId="7" borderId="1" xfId="0" applyFont="1" applyFill="1" applyBorder="1" applyProtection="1">
      <protection locked="0"/>
    </xf>
    <xf numFmtId="0" fontId="38" fillId="7" borderId="1" xfId="0" applyFont="1" applyFill="1" applyBorder="1" applyProtection="1">
      <protection locked="0"/>
    </xf>
    <xf numFmtId="0" fontId="40" fillId="0" borderId="0" xfId="0" applyFont="1"/>
    <xf numFmtId="0" fontId="0" fillId="6" borderId="1" xfId="0" applyFill="1" applyBorder="1"/>
    <xf numFmtId="11" fontId="0" fillId="6" borderId="1" xfId="0" applyNumberFormat="1" applyFill="1" applyBorder="1"/>
    <xf numFmtId="167" fontId="0" fillId="6" borderId="1" xfId="0" applyNumberFormat="1" applyFill="1" applyBorder="1"/>
    <xf numFmtId="0" fontId="35" fillId="6" borderId="1" xfId="0" applyFont="1" applyFill="1" applyBorder="1" applyAlignment="1">
      <alignment vertical="center" wrapText="1"/>
    </xf>
    <xf numFmtId="168" fontId="1" fillId="6" borderId="1" xfId="0" applyNumberFormat="1" applyFont="1" applyFill="1" applyBorder="1" applyProtection="1">
      <protection hidden="1"/>
    </xf>
    <xf numFmtId="167" fontId="1" fillId="6" borderId="1" xfId="0" applyNumberFormat="1" applyFont="1" applyFill="1" applyBorder="1" applyProtection="1">
      <protection hidden="1"/>
    </xf>
    <xf numFmtId="0" fontId="0" fillId="6" borderId="1" xfId="0" applyFill="1" applyBorder="1" applyProtection="1">
      <protection hidden="1"/>
    </xf>
    <xf numFmtId="2" fontId="0" fillId="0" borderId="3" xfId="0" applyNumberFormat="1" applyBorder="1" applyProtection="1">
      <protection locked="0"/>
    </xf>
    <xf numFmtId="2" fontId="0" fillId="0" borderId="1" xfId="0" applyNumberFormat="1" applyBorder="1" applyProtection="1">
      <protection locked="0"/>
    </xf>
    <xf numFmtId="2" fontId="0" fillId="0" borderId="2" xfId="0" applyNumberFormat="1" applyBorder="1" applyProtection="1">
      <protection locked="0"/>
    </xf>
    <xf numFmtId="0" fontId="0" fillId="0" borderId="0" xfId="0" applyFill="1" applyBorder="1" applyProtection="1">
      <protection locked="0"/>
    </xf>
    <xf numFmtId="1" fontId="10" fillId="0" borderId="0" xfId="0" applyNumberFormat="1" applyFont="1" applyBorder="1" applyAlignment="1">
      <alignment horizontal="center" wrapText="1"/>
    </xf>
    <xf numFmtId="0" fontId="3" fillId="3" borderId="35" xfId="0" applyFont="1" applyFill="1" applyBorder="1" applyAlignment="1">
      <alignment horizontal="center" wrapText="1"/>
    </xf>
    <xf numFmtId="0" fontId="0" fillId="0" borderId="36" xfId="0" applyBorder="1"/>
    <xf numFmtId="0" fontId="0" fillId="0" borderId="37" xfId="0" applyBorder="1"/>
    <xf numFmtId="0" fontId="0" fillId="0" borderId="38" xfId="0" applyBorder="1"/>
    <xf numFmtId="3" fontId="0" fillId="0" borderId="0" xfId="0" applyNumberFormat="1" applyBorder="1" applyProtection="1">
      <protection locked="0"/>
    </xf>
    <xf numFmtId="1" fontId="0" fillId="0" borderId="0" xfId="0" applyNumberFormat="1" applyBorder="1" applyProtection="1">
      <protection locked="0"/>
    </xf>
    <xf numFmtId="0" fontId="14" fillId="0" borderId="23" xfId="0" applyFont="1" applyBorder="1" applyAlignment="1">
      <alignment horizontal="center" wrapText="1"/>
    </xf>
    <xf numFmtId="0" fontId="14" fillId="0" borderId="24" xfId="0" applyFont="1" applyBorder="1" applyAlignment="1">
      <alignment horizontal="center" wrapText="1"/>
    </xf>
    <xf numFmtId="0" fontId="14" fillId="0" borderId="25" xfId="0" applyFont="1" applyBorder="1" applyAlignment="1">
      <alignment horizontal="center" wrapText="1"/>
    </xf>
    <xf numFmtId="0" fontId="14" fillId="0" borderId="26" xfId="0" applyFont="1" applyBorder="1" applyAlignment="1">
      <alignment horizontal="center" wrapText="1"/>
    </xf>
    <xf numFmtId="0" fontId="14" fillId="0" borderId="0" xfId="0" applyFont="1" applyBorder="1" applyAlignment="1">
      <alignment horizontal="center" wrapText="1"/>
    </xf>
    <xf numFmtId="0" fontId="14" fillId="0" borderId="27" xfId="0" applyFont="1" applyBorder="1" applyAlignment="1">
      <alignment horizontal="center" wrapText="1"/>
    </xf>
    <xf numFmtId="0" fontId="14" fillId="0" borderId="28" xfId="0" applyFont="1" applyBorder="1" applyAlignment="1">
      <alignment horizontal="center" wrapText="1"/>
    </xf>
    <xf numFmtId="0" fontId="14" fillId="0" borderId="29" xfId="0" applyFont="1" applyBorder="1" applyAlignment="1">
      <alignment horizontal="center" wrapText="1"/>
    </xf>
    <xf numFmtId="0" fontId="14" fillId="0" borderId="30" xfId="0" applyFont="1" applyBorder="1" applyAlignment="1">
      <alignment horizontal="center" wrapText="1"/>
    </xf>
    <xf numFmtId="0" fontId="0" fillId="0" borderId="0" xfId="0" applyAlignment="1">
      <alignment horizontal="center" vertical="center" wrapText="1"/>
    </xf>
  </cellXfs>
  <cellStyles count="1">
    <cellStyle name="Обычный" xfId="0" builtinId="0"/>
  </cellStyles>
  <dxfs count="13">
    <dxf>
      <fill>
        <patternFill>
          <bgColor indexed="11"/>
        </patternFill>
      </fill>
    </dxf>
    <dxf>
      <fill>
        <patternFill>
          <bgColor indexed="26"/>
        </patternFill>
      </fill>
    </dxf>
    <dxf>
      <fill>
        <patternFill>
          <bgColor indexed="26"/>
        </patternFill>
      </fill>
    </dxf>
    <dxf>
      <fill>
        <patternFill>
          <bgColor indexed="11"/>
        </patternFill>
      </fill>
    </dxf>
    <dxf>
      <fill>
        <patternFill>
          <bgColor indexed="26"/>
        </patternFill>
      </fill>
    </dxf>
    <dxf>
      <fill>
        <patternFill>
          <bgColor indexed="26"/>
        </patternFill>
      </fill>
    </dxf>
    <dxf>
      <fill>
        <patternFill>
          <bgColor indexed="11"/>
        </patternFill>
      </fill>
    </dxf>
    <dxf>
      <fill>
        <patternFill>
          <bgColor indexed="11"/>
        </patternFill>
      </fill>
    </dxf>
    <dxf>
      <fill>
        <patternFill>
          <bgColor indexed="11"/>
        </patternFill>
      </fill>
    </dxf>
    <dxf>
      <fill>
        <patternFill>
          <bgColor indexed="13"/>
        </patternFill>
      </fill>
    </dxf>
    <dxf>
      <fill>
        <patternFill>
          <bgColor indexed="13"/>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Figure 1. The graph of the function f(x)=[exp(x)-2-x]^2 </a:t>
            </a:r>
          </a:p>
        </c:rich>
      </c:tx>
      <c:layout>
        <c:manualLayout>
          <c:xMode val="edge"/>
          <c:yMode val="edge"/>
          <c:x val="0.16891939183277765"/>
          <c:y val="3.0660377358490566E-2"/>
        </c:manualLayout>
      </c:layout>
      <c:overlay val="0"/>
      <c:spPr>
        <a:noFill/>
        <a:ln w="25400">
          <a:noFill/>
        </a:ln>
      </c:spPr>
    </c:title>
    <c:autoTitleDeleted val="0"/>
    <c:plotArea>
      <c:layout>
        <c:manualLayout>
          <c:layoutTarget val="inner"/>
          <c:xMode val="edge"/>
          <c:yMode val="edge"/>
          <c:x val="0.11936963191870759"/>
          <c:y val="0.14150959692566714"/>
          <c:w val="0.83108290901892645"/>
          <c:h val="0.6391516794475966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FindingMax!$M$5:$M$205</c:f>
              <c:numCache>
                <c:formatCode>0.000000</c:formatCode>
                <c:ptCount val="201"/>
                <c:pt idx="0">
                  <c:v>-1</c:v>
                </c:pt>
                <c:pt idx="1">
                  <c:v>-0.99</c:v>
                </c:pt>
                <c:pt idx="2">
                  <c:v>-0.98</c:v>
                </c:pt>
                <c:pt idx="3">
                  <c:v>-0.97</c:v>
                </c:pt>
                <c:pt idx="4">
                  <c:v>-0.96</c:v>
                </c:pt>
                <c:pt idx="5">
                  <c:v>-0.95</c:v>
                </c:pt>
                <c:pt idx="6">
                  <c:v>-0.94</c:v>
                </c:pt>
                <c:pt idx="7">
                  <c:v>-0.92999999999999994</c:v>
                </c:pt>
                <c:pt idx="8">
                  <c:v>-0.91999999999999993</c:v>
                </c:pt>
                <c:pt idx="9">
                  <c:v>-0.90999999999999992</c:v>
                </c:pt>
                <c:pt idx="10">
                  <c:v>-0.89999999999999991</c:v>
                </c:pt>
                <c:pt idx="11">
                  <c:v>-0.8899999999999999</c:v>
                </c:pt>
                <c:pt idx="12">
                  <c:v>-0.87999999999999989</c:v>
                </c:pt>
                <c:pt idx="13">
                  <c:v>-0.86999999999999988</c:v>
                </c:pt>
                <c:pt idx="14">
                  <c:v>-0.85999999999999988</c:v>
                </c:pt>
                <c:pt idx="15">
                  <c:v>-0.84999999999999987</c:v>
                </c:pt>
                <c:pt idx="16">
                  <c:v>-0.83999999999999986</c:v>
                </c:pt>
                <c:pt idx="17">
                  <c:v>-0.82999999999999985</c:v>
                </c:pt>
                <c:pt idx="18">
                  <c:v>-0.81999999999999984</c:v>
                </c:pt>
                <c:pt idx="19">
                  <c:v>-0.80999999999999983</c:v>
                </c:pt>
                <c:pt idx="20">
                  <c:v>-0.79999999999999982</c:v>
                </c:pt>
                <c:pt idx="21">
                  <c:v>-0.78999999999999981</c:v>
                </c:pt>
                <c:pt idx="22">
                  <c:v>-0.7799999999999998</c:v>
                </c:pt>
                <c:pt idx="23">
                  <c:v>-0.7699999999999998</c:v>
                </c:pt>
                <c:pt idx="24">
                  <c:v>-0.75999999999999979</c:v>
                </c:pt>
                <c:pt idx="25">
                  <c:v>-0.74999999999999978</c:v>
                </c:pt>
                <c:pt idx="26">
                  <c:v>-0.73999999999999977</c:v>
                </c:pt>
                <c:pt idx="27">
                  <c:v>-0.72999999999999976</c:v>
                </c:pt>
                <c:pt idx="28">
                  <c:v>-0.71999999999999975</c:v>
                </c:pt>
                <c:pt idx="29">
                  <c:v>-0.70999999999999974</c:v>
                </c:pt>
                <c:pt idx="30">
                  <c:v>-0.69999999999999973</c:v>
                </c:pt>
                <c:pt idx="31">
                  <c:v>-0.68999999999999972</c:v>
                </c:pt>
                <c:pt idx="32">
                  <c:v>-0.67999999999999972</c:v>
                </c:pt>
                <c:pt idx="33">
                  <c:v>-0.66999999999999971</c:v>
                </c:pt>
                <c:pt idx="34">
                  <c:v>-0.6599999999999997</c:v>
                </c:pt>
                <c:pt idx="35">
                  <c:v>-0.64999999999999969</c:v>
                </c:pt>
                <c:pt idx="36">
                  <c:v>-0.63999999999999968</c:v>
                </c:pt>
                <c:pt idx="37">
                  <c:v>-0.62999999999999967</c:v>
                </c:pt>
                <c:pt idx="38">
                  <c:v>-0.61999999999999966</c:v>
                </c:pt>
                <c:pt idx="39">
                  <c:v>-0.60999999999999965</c:v>
                </c:pt>
                <c:pt idx="40">
                  <c:v>-0.59999999999999964</c:v>
                </c:pt>
                <c:pt idx="41">
                  <c:v>-0.58999999999999964</c:v>
                </c:pt>
                <c:pt idx="42">
                  <c:v>-0.57999999999999963</c:v>
                </c:pt>
                <c:pt idx="43">
                  <c:v>-0.56999999999999962</c:v>
                </c:pt>
                <c:pt idx="44">
                  <c:v>-0.55999999999999961</c:v>
                </c:pt>
                <c:pt idx="45">
                  <c:v>-0.5499999999999996</c:v>
                </c:pt>
                <c:pt idx="46">
                  <c:v>-0.53999999999999959</c:v>
                </c:pt>
                <c:pt idx="47">
                  <c:v>-0.52999999999999958</c:v>
                </c:pt>
                <c:pt idx="48">
                  <c:v>-0.51999999999999957</c:v>
                </c:pt>
                <c:pt idx="49">
                  <c:v>-0.50999999999999956</c:v>
                </c:pt>
                <c:pt idx="50">
                  <c:v>-0.49999999999999956</c:v>
                </c:pt>
                <c:pt idx="51">
                  <c:v>-0.48999999999999955</c:v>
                </c:pt>
                <c:pt idx="52">
                  <c:v>-0.47999999999999954</c:v>
                </c:pt>
                <c:pt idx="53">
                  <c:v>-0.46999999999999953</c:v>
                </c:pt>
                <c:pt idx="54">
                  <c:v>-0.45999999999999952</c:v>
                </c:pt>
                <c:pt idx="55">
                  <c:v>-0.44999999999999951</c:v>
                </c:pt>
                <c:pt idx="56">
                  <c:v>-0.4399999999999995</c:v>
                </c:pt>
                <c:pt idx="57">
                  <c:v>-0.42999999999999949</c:v>
                </c:pt>
                <c:pt idx="58">
                  <c:v>-0.41999999999999948</c:v>
                </c:pt>
                <c:pt idx="59">
                  <c:v>-0.40999999999999948</c:v>
                </c:pt>
                <c:pt idx="60">
                  <c:v>-0.39999999999999947</c:v>
                </c:pt>
                <c:pt idx="61">
                  <c:v>-0.38999999999999946</c:v>
                </c:pt>
                <c:pt idx="62">
                  <c:v>-0.37999999999999945</c:v>
                </c:pt>
                <c:pt idx="63">
                  <c:v>-0.36999999999999944</c:v>
                </c:pt>
                <c:pt idx="64">
                  <c:v>-0.35999999999999943</c:v>
                </c:pt>
                <c:pt idx="65">
                  <c:v>-0.34999999999999942</c:v>
                </c:pt>
                <c:pt idx="66">
                  <c:v>-0.33999999999999941</c:v>
                </c:pt>
                <c:pt idx="67">
                  <c:v>-0.3299999999999994</c:v>
                </c:pt>
                <c:pt idx="68">
                  <c:v>-0.3199999999999994</c:v>
                </c:pt>
                <c:pt idx="69">
                  <c:v>-0.30999999999999939</c:v>
                </c:pt>
                <c:pt idx="70">
                  <c:v>-0.29999999999999938</c:v>
                </c:pt>
                <c:pt idx="71">
                  <c:v>-0.28999999999999937</c:v>
                </c:pt>
                <c:pt idx="72">
                  <c:v>-0.27999999999999936</c:v>
                </c:pt>
                <c:pt idx="73">
                  <c:v>-0.26999999999999935</c:v>
                </c:pt>
                <c:pt idx="74">
                  <c:v>-0.25999999999999934</c:v>
                </c:pt>
                <c:pt idx="75">
                  <c:v>-0.24999999999999933</c:v>
                </c:pt>
                <c:pt idx="76">
                  <c:v>-0.23999999999999932</c:v>
                </c:pt>
                <c:pt idx="77">
                  <c:v>-0.22999999999999932</c:v>
                </c:pt>
                <c:pt idx="78">
                  <c:v>-0.21999999999999931</c:v>
                </c:pt>
                <c:pt idx="79">
                  <c:v>-0.2099999999999993</c:v>
                </c:pt>
                <c:pt idx="80">
                  <c:v>-0.19999999999999929</c:v>
                </c:pt>
                <c:pt idx="81">
                  <c:v>-0.18999999999999928</c:v>
                </c:pt>
                <c:pt idx="82">
                  <c:v>-0.17999999999999927</c:v>
                </c:pt>
                <c:pt idx="83">
                  <c:v>-0.16999999999999926</c:v>
                </c:pt>
                <c:pt idx="84">
                  <c:v>-0.15999999999999925</c:v>
                </c:pt>
                <c:pt idx="85">
                  <c:v>-0.14999999999999925</c:v>
                </c:pt>
                <c:pt idx="86">
                  <c:v>-0.13999999999999924</c:v>
                </c:pt>
                <c:pt idx="87">
                  <c:v>-0.12999999999999923</c:v>
                </c:pt>
                <c:pt idx="88">
                  <c:v>-0.11999999999999923</c:v>
                </c:pt>
                <c:pt idx="89">
                  <c:v>-0.10999999999999924</c:v>
                </c:pt>
                <c:pt idx="90">
                  <c:v>-9.9999999999999242E-2</c:v>
                </c:pt>
                <c:pt idx="91">
                  <c:v>-8.9999999999999247E-2</c:v>
                </c:pt>
                <c:pt idx="92">
                  <c:v>-7.9999999999999252E-2</c:v>
                </c:pt>
                <c:pt idx="93">
                  <c:v>-6.9999999999999257E-2</c:v>
                </c:pt>
                <c:pt idx="94">
                  <c:v>-5.9999999999999255E-2</c:v>
                </c:pt>
                <c:pt idx="95">
                  <c:v>-4.9999999999999253E-2</c:v>
                </c:pt>
                <c:pt idx="96">
                  <c:v>-3.9999999999999251E-2</c:v>
                </c:pt>
                <c:pt idx="97">
                  <c:v>-2.9999999999999249E-2</c:v>
                </c:pt>
                <c:pt idx="98">
                  <c:v>-1.9999999999999248E-2</c:v>
                </c:pt>
                <c:pt idx="99">
                  <c:v>-9.9999999999992473E-3</c:v>
                </c:pt>
                <c:pt idx="100">
                  <c:v>7.5286998857393428E-16</c:v>
                </c:pt>
                <c:pt idx="101">
                  <c:v>1.0000000000000753E-2</c:v>
                </c:pt>
                <c:pt idx="102">
                  <c:v>2.0000000000000753E-2</c:v>
                </c:pt>
                <c:pt idx="103">
                  <c:v>3.0000000000000755E-2</c:v>
                </c:pt>
                <c:pt idx="104">
                  <c:v>4.0000000000000757E-2</c:v>
                </c:pt>
                <c:pt idx="105">
                  <c:v>5.0000000000000759E-2</c:v>
                </c:pt>
                <c:pt idx="106">
                  <c:v>6.0000000000000761E-2</c:v>
                </c:pt>
                <c:pt idx="107">
                  <c:v>7.0000000000000756E-2</c:v>
                </c:pt>
                <c:pt idx="108">
                  <c:v>8.0000000000000751E-2</c:v>
                </c:pt>
                <c:pt idx="109">
                  <c:v>9.0000000000000746E-2</c:v>
                </c:pt>
                <c:pt idx="110">
                  <c:v>0.10000000000000074</c:v>
                </c:pt>
                <c:pt idx="111">
                  <c:v>0.11000000000000074</c:v>
                </c:pt>
                <c:pt idx="112">
                  <c:v>0.12000000000000073</c:v>
                </c:pt>
                <c:pt idx="113">
                  <c:v>0.13000000000000073</c:v>
                </c:pt>
                <c:pt idx="114">
                  <c:v>0.14000000000000073</c:v>
                </c:pt>
                <c:pt idx="115">
                  <c:v>0.15000000000000074</c:v>
                </c:pt>
                <c:pt idx="116">
                  <c:v>0.16000000000000075</c:v>
                </c:pt>
                <c:pt idx="117">
                  <c:v>0.17000000000000076</c:v>
                </c:pt>
                <c:pt idx="118">
                  <c:v>0.18000000000000077</c:v>
                </c:pt>
                <c:pt idx="119">
                  <c:v>0.19000000000000078</c:v>
                </c:pt>
                <c:pt idx="120">
                  <c:v>0.20000000000000079</c:v>
                </c:pt>
                <c:pt idx="121">
                  <c:v>0.2100000000000008</c:v>
                </c:pt>
                <c:pt idx="122">
                  <c:v>0.22000000000000081</c:v>
                </c:pt>
                <c:pt idx="123">
                  <c:v>0.23000000000000081</c:v>
                </c:pt>
                <c:pt idx="124">
                  <c:v>0.24000000000000082</c:v>
                </c:pt>
                <c:pt idx="125">
                  <c:v>0.25000000000000083</c:v>
                </c:pt>
                <c:pt idx="126">
                  <c:v>0.26000000000000084</c:v>
                </c:pt>
                <c:pt idx="127">
                  <c:v>0.27000000000000085</c:v>
                </c:pt>
                <c:pt idx="128">
                  <c:v>0.28000000000000086</c:v>
                </c:pt>
                <c:pt idx="129">
                  <c:v>0.29000000000000087</c:v>
                </c:pt>
                <c:pt idx="130">
                  <c:v>0.30000000000000088</c:v>
                </c:pt>
                <c:pt idx="131">
                  <c:v>0.31000000000000089</c:v>
                </c:pt>
                <c:pt idx="132">
                  <c:v>0.32000000000000089</c:v>
                </c:pt>
                <c:pt idx="133">
                  <c:v>0.3300000000000009</c:v>
                </c:pt>
                <c:pt idx="134">
                  <c:v>0.34000000000000091</c:v>
                </c:pt>
                <c:pt idx="135">
                  <c:v>0.35000000000000092</c:v>
                </c:pt>
                <c:pt idx="136">
                  <c:v>0.36000000000000093</c:v>
                </c:pt>
                <c:pt idx="137">
                  <c:v>0.37000000000000094</c:v>
                </c:pt>
                <c:pt idx="138">
                  <c:v>0.38000000000000095</c:v>
                </c:pt>
                <c:pt idx="139">
                  <c:v>0.39000000000000096</c:v>
                </c:pt>
                <c:pt idx="140">
                  <c:v>0.40000000000000097</c:v>
                </c:pt>
                <c:pt idx="141">
                  <c:v>0.41000000000000097</c:v>
                </c:pt>
                <c:pt idx="142">
                  <c:v>0.42000000000000098</c:v>
                </c:pt>
                <c:pt idx="143">
                  <c:v>0.43000000000000099</c:v>
                </c:pt>
                <c:pt idx="144">
                  <c:v>0.440000000000001</c:v>
                </c:pt>
                <c:pt idx="145">
                  <c:v>0.45000000000000101</c:v>
                </c:pt>
                <c:pt idx="146">
                  <c:v>0.46000000000000102</c:v>
                </c:pt>
                <c:pt idx="147">
                  <c:v>0.47000000000000103</c:v>
                </c:pt>
                <c:pt idx="148">
                  <c:v>0.48000000000000104</c:v>
                </c:pt>
                <c:pt idx="149">
                  <c:v>0.49000000000000105</c:v>
                </c:pt>
                <c:pt idx="150">
                  <c:v>0.500000000000001</c:v>
                </c:pt>
                <c:pt idx="151">
                  <c:v>0.51000000000000101</c:v>
                </c:pt>
                <c:pt idx="152">
                  <c:v>0.52000000000000102</c:v>
                </c:pt>
                <c:pt idx="153">
                  <c:v>0.53000000000000103</c:v>
                </c:pt>
                <c:pt idx="154">
                  <c:v>0.54000000000000103</c:v>
                </c:pt>
                <c:pt idx="155">
                  <c:v>0.55000000000000104</c:v>
                </c:pt>
                <c:pt idx="156">
                  <c:v>0.56000000000000105</c:v>
                </c:pt>
                <c:pt idx="157">
                  <c:v>0.57000000000000106</c:v>
                </c:pt>
                <c:pt idx="158">
                  <c:v>0.58000000000000107</c:v>
                </c:pt>
                <c:pt idx="159">
                  <c:v>0.59000000000000108</c:v>
                </c:pt>
                <c:pt idx="160">
                  <c:v>0.60000000000000109</c:v>
                </c:pt>
                <c:pt idx="161">
                  <c:v>0.6100000000000011</c:v>
                </c:pt>
                <c:pt idx="162">
                  <c:v>0.62000000000000111</c:v>
                </c:pt>
                <c:pt idx="163">
                  <c:v>0.63000000000000111</c:v>
                </c:pt>
                <c:pt idx="164">
                  <c:v>0.64000000000000112</c:v>
                </c:pt>
                <c:pt idx="165">
                  <c:v>0.65000000000000113</c:v>
                </c:pt>
                <c:pt idx="166">
                  <c:v>0.66000000000000114</c:v>
                </c:pt>
                <c:pt idx="167">
                  <c:v>0.67000000000000115</c:v>
                </c:pt>
                <c:pt idx="168">
                  <c:v>0.68000000000000116</c:v>
                </c:pt>
                <c:pt idx="169">
                  <c:v>0.69000000000000117</c:v>
                </c:pt>
                <c:pt idx="170">
                  <c:v>0.70000000000000118</c:v>
                </c:pt>
                <c:pt idx="171">
                  <c:v>0.71000000000000119</c:v>
                </c:pt>
                <c:pt idx="172">
                  <c:v>0.72000000000000119</c:v>
                </c:pt>
                <c:pt idx="173">
                  <c:v>0.7300000000000012</c:v>
                </c:pt>
                <c:pt idx="174">
                  <c:v>0.74000000000000121</c:v>
                </c:pt>
                <c:pt idx="175">
                  <c:v>0.75000000000000122</c:v>
                </c:pt>
                <c:pt idx="176">
                  <c:v>0.76000000000000123</c:v>
                </c:pt>
                <c:pt idx="177">
                  <c:v>0.77000000000000124</c:v>
                </c:pt>
                <c:pt idx="178">
                  <c:v>0.78000000000000125</c:v>
                </c:pt>
                <c:pt idx="179">
                  <c:v>0.79000000000000126</c:v>
                </c:pt>
                <c:pt idx="180">
                  <c:v>0.80000000000000127</c:v>
                </c:pt>
                <c:pt idx="181">
                  <c:v>0.81000000000000127</c:v>
                </c:pt>
                <c:pt idx="182">
                  <c:v>0.82000000000000128</c:v>
                </c:pt>
                <c:pt idx="183">
                  <c:v>0.83000000000000129</c:v>
                </c:pt>
                <c:pt idx="184">
                  <c:v>0.8400000000000013</c:v>
                </c:pt>
                <c:pt idx="185">
                  <c:v>0.85000000000000131</c:v>
                </c:pt>
                <c:pt idx="186">
                  <c:v>0.86000000000000132</c:v>
                </c:pt>
                <c:pt idx="187">
                  <c:v>0.87000000000000133</c:v>
                </c:pt>
                <c:pt idx="188">
                  <c:v>0.88000000000000134</c:v>
                </c:pt>
                <c:pt idx="189">
                  <c:v>0.89000000000000135</c:v>
                </c:pt>
                <c:pt idx="190">
                  <c:v>0.90000000000000135</c:v>
                </c:pt>
                <c:pt idx="191">
                  <c:v>0.91000000000000136</c:v>
                </c:pt>
                <c:pt idx="192">
                  <c:v>0.92000000000000137</c:v>
                </c:pt>
                <c:pt idx="193">
                  <c:v>0.93000000000000138</c:v>
                </c:pt>
                <c:pt idx="194">
                  <c:v>0.94000000000000139</c:v>
                </c:pt>
                <c:pt idx="195">
                  <c:v>0.9500000000000014</c:v>
                </c:pt>
                <c:pt idx="196">
                  <c:v>0.96000000000000141</c:v>
                </c:pt>
                <c:pt idx="197">
                  <c:v>0.97000000000000142</c:v>
                </c:pt>
                <c:pt idx="198">
                  <c:v>0.98000000000000143</c:v>
                </c:pt>
                <c:pt idx="199">
                  <c:v>0.99000000000000143</c:v>
                </c:pt>
                <c:pt idx="200">
                  <c:v>1.0000000000000013</c:v>
                </c:pt>
              </c:numCache>
            </c:numRef>
          </c:cat>
          <c:val>
            <c:numRef>
              <c:f>FindingMax!$N$5:$N$205</c:f>
              <c:numCache>
                <c:formatCode>General</c:formatCode>
                <c:ptCount val="201"/>
                <c:pt idx="0">
                  <c:v>0.39957640089372803</c:v>
                </c:pt>
                <c:pt idx="1">
                  <c:v>0.40758432144636048</c:v>
                </c:pt>
                <c:pt idx="2">
                  <c:v>0.41562377926419009</c:v>
                </c:pt>
                <c:pt idx="3">
                  <c:v>0.4236928912847015</c:v>
                </c:pt>
                <c:pt idx="4">
                  <c:v>0.43178975930211727</c:v>
                </c:pt>
                <c:pt idx="5">
                  <c:v>0.43991246996818256</c:v>
                </c:pt>
                <c:pt idx="6">
                  <c:v>0.44805909479681921</c:v>
                </c:pt>
                <c:pt idx="7">
                  <c:v>0.45622769017277082</c:v>
                </c:pt>
                <c:pt idx="8">
                  <c:v>0.46441629736437001</c:v>
                </c:pt>
                <c:pt idx="9">
                  <c:v>0.47262294254055448</c:v>
                </c:pt>
                <c:pt idx="10">
                  <c:v>0.48084563679226844</c:v>
                </c:pt>
                <c:pt idx="11">
                  <c:v>0.48908237615838857</c:v>
                </c:pt>
                <c:pt idx="12">
                  <c:v>0.49733114165630815</c:v>
                </c:pt>
                <c:pt idx="13">
                  <c:v>0.50558989931733289</c:v>
                </c:pt>
                <c:pt idx="14">
                  <c:v>0.51385660022702606</c:v>
                </c:pt>
                <c:pt idx="15">
                  <c:v>0.52212918057066326</c:v>
                </c:pt>
                <c:pt idx="16">
                  <c:v>0.53040556168394526</c:v>
                </c:pt>
                <c:pt idx="17">
                  <c:v>0.53868365010912722</c:v>
                </c:pt>
                <c:pt idx="18">
                  <c:v>0.5469613376567336</c:v>
                </c:pt>
                <c:pt idx="19">
                  <c:v>0.55523650147301473</c:v>
                </c:pt>
                <c:pt idx="20">
                  <c:v>0.56350700411332388</c:v>
                </c:pt>
                <c:pt idx="21">
                  <c:v>0.57177069362158262</c:v>
                </c:pt>
                <c:pt idx="22">
                  <c:v>0.58002540361601962</c:v>
                </c:pt>
                <c:pt idx="23">
                  <c:v>0.5882689533813571</c:v>
                </c:pt>
                <c:pt idx="24">
                  <c:v>0.59649914796764003</c:v>
                </c:pt>
                <c:pt idx="25">
                  <c:v>0.60471377829589323</c:v>
                </c:pt>
                <c:pt idx="26">
                  <c:v>0.61291062127080631</c:v>
                </c:pt>
                <c:pt idx="27">
                  <c:v>0.62108743990064497</c:v>
                </c:pt>
                <c:pt idx="28">
                  <c:v>0.62924198342459459</c:v>
                </c:pt>
                <c:pt idx="29">
                  <c:v>0.63737198744774648</c:v>
                </c:pt>
                <c:pt idx="30">
                  <c:v>0.64547517408394195</c:v>
                </c:pt>
                <c:pt idx="31">
                  <c:v>0.65354925210669146</c:v>
                </c:pt>
                <c:pt idx="32">
                  <c:v>0.66159191710839937</c:v>
                </c:pt>
                <c:pt idx="33">
                  <c:v>0.66960085166812322</c:v>
                </c:pt>
                <c:pt idx="34">
                  <c:v>0.67757372552809669</c:v>
                </c:pt>
                <c:pt idx="35">
                  <c:v>0.68550819577926947</c:v>
                </c:pt>
                <c:pt idx="36">
                  <c:v>0.69340190705610227</c:v>
                </c:pt>
                <c:pt idx="37">
                  <c:v>0.70125249174087245</c:v>
                </c:pt>
                <c:pt idx="38">
                  <c:v>0.70905757017774929</c:v>
                </c:pt>
                <c:pt idx="39">
                  <c:v>0.71681475089690516</c:v>
                </c:pt>
                <c:pt idx="40">
                  <c:v>0.72452163084892862</c:v>
                </c:pt>
                <c:pt idx="41">
                  <c:v>0.73217579564982149</c:v>
                </c:pt>
                <c:pt idx="42">
                  <c:v>0.73977481983686377</c:v>
                </c:pt>
                <c:pt idx="43">
                  <c:v>0.74731626713562826</c:v>
                </c:pt>
                <c:pt idx="44">
                  <c:v>0.75479769073845271</c:v>
                </c:pt>
                <c:pt idx="45">
                  <c:v>0.76221663359466851</c:v>
                </c:pt>
                <c:pt idx="46">
                  <c:v>0.76957062871288995</c:v>
                </c:pt>
                <c:pt idx="47">
                  <c:v>0.77685719947569332</c:v>
                </c:pt>
                <c:pt idx="48">
                  <c:v>0.78407385996700496</c:v>
                </c:pt>
                <c:pt idx="49">
                  <c:v>0.79121811531252628</c:v>
                </c:pt>
                <c:pt idx="50">
                  <c:v>0.79828746203354239</c:v>
                </c:pt>
                <c:pt idx="51">
                  <c:v>0.80527938841446334</c:v>
                </c:pt>
                <c:pt idx="52">
                  <c:v>0.81219137488444404</c:v>
                </c:pt>
                <c:pt idx="53">
                  <c:v>0.81902089441345671</c:v>
                </c:pt>
                <c:pt idx="54">
                  <c:v>0.82576541292318228</c:v>
                </c:pt>
                <c:pt idx="55">
                  <c:v>0.83242238971310212</c:v>
                </c:pt>
                <c:pt idx="56">
                  <c:v>0.83898927790218092</c:v>
                </c:pt>
                <c:pt idx="57">
                  <c:v>0.84546352488653542</c:v>
                </c:pt>
                <c:pt idx="58">
                  <c:v>0.85184257281350084</c:v>
                </c:pt>
                <c:pt idx="59">
                  <c:v>0.85812385907250399</c:v>
                </c:pt>
                <c:pt idx="60">
                  <c:v>0.86430481680317639</c:v>
                </c:pt>
                <c:pt idx="61">
                  <c:v>0.87038287542113346</c:v>
                </c:pt>
                <c:pt idx="62">
                  <c:v>0.87635546116187646</c:v>
                </c:pt>
                <c:pt idx="63">
                  <c:v>0.88221999764325865</c:v>
                </c:pt>
                <c:pt idx="64">
                  <c:v>0.88797390644699004</c:v>
                </c:pt>
                <c:pt idx="65">
                  <c:v>0.89361460771965562</c:v>
                </c:pt>
                <c:pt idx="66">
                  <c:v>0.89913952079372594</c:v>
                </c:pt>
                <c:pt idx="67">
                  <c:v>0.9045460648290663</c:v>
                </c:pt>
                <c:pt idx="68">
                  <c:v>0.90983165947544731</c:v>
                </c:pt>
                <c:pt idx="69">
                  <c:v>0.91499372555657699</c:v>
                </c:pt>
                <c:pt idx="70">
                  <c:v>0.92002968577618627</c:v>
                </c:pt>
                <c:pt idx="71">
                  <c:v>0.92493696544670945</c:v>
                </c:pt>
                <c:pt idx="72">
                  <c:v>0.92971299324111989</c:v>
                </c:pt>
                <c:pt idx="73">
                  <c:v>0.93435520196847788</c:v>
                </c:pt>
                <c:pt idx="74">
                  <c:v>0.93886102937378368</c:v>
                </c:pt>
                <c:pt idx="75">
                  <c:v>0.94322791896271663</c:v>
                </c:pt>
                <c:pt idx="76">
                  <c:v>0.94745332085187339</c:v>
                </c:pt>
                <c:pt idx="77">
                  <c:v>0.95153469264512358</c:v>
                </c:pt>
                <c:pt idx="78">
                  <c:v>0.95546950033671818</c:v>
                </c:pt>
                <c:pt idx="79">
                  <c:v>0.95925521924178703</c:v>
                </c:pt>
                <c:pt idx="80">
                  <c:v>0.96288933495490459</c:v>
                </c:pt>
                <c:pt idx="81">
                  <c:v>0.9663693443373842</c:v>
                </c:pt>
                <c:pt idx="82">
                  <c:v>0.96969275653400111</c:v>
                </c:pt>
                <c:pt idx="83">
                  <c:v>0.97285709401984577</c:v>
                </c:pt>
                <c:pt idx="84">
                  <c:v>0.97585989367803339</c:v>
                </c:pt>
                <c:pt idx="85">
                  <c:v>0.97869870790900415</c:v>
                </c:pt>
                <c:pt idx="86">
                  <c:v>0.98137110577216791</c:v>
                </c:pt>
                <c:pt idx="87">
                  <c:v>0.98387467416066721</c:v>
                </c:pt>
                <c:pt idx="88">
                  <c:v>0.98620701901004149</c:v>
                </c:pt>
                <c:pt idx="89">
                  <c:v>0.98836576654160202</c:v>
                </c:pt>
                <c:pt idx="90">
                  <c:v>0.99034856454133591</c:v>
                </c:pt>
                <c:pt idx="91">
                  <c:v>0.99215308367518062</c:v>
                </c:pt>
                <c:pt idx="92">
                  <c:v>0.9937770188415298</c:v>
                </c:pt>
                <c:pt idx="93">
                  <c:v>0.99521809056184563</c:v>
                </c:pt>
                <c:pt idx="94">
                  <c:v>0.99647404641027282</c:v>
                </c:pt>
                <c:pt idx="95">
                  <c:v>0.99754266248317502</c:v>
                </c:pt>
                <c:pt idx="96">
                  <c:v>0.99842174490952884</c:v>
                </c:pt>
                <c:pt idx="97">
                  <c:v>0.99910913140312652</c:v>
                </c:pt>
                <c:pt idx="98">
                  <c:v>0.99960269285757231</c:v>
                </c:pt>
                <c:pt idx="99">
                  <c:v>0.99990033498506659</c:v>
                </c:pt>
                <c:pt idx="100">
                  <c:v>1</c:v>
                </c:pt>
                <c:pt idx="101">
                  <c:v>0.99989966834840027</c:v>
                </c:pt>
                <c:pt idx="102">
                  <c:v>0.99959736048429459</c:v>
                </c:pt>
                <c:pt idx="103">
                  <c:v>0.99909113869408128</c:v>
                </c:pt>
                <c:pt idx="104">
                  <c:v>0.99837910897001425</c:v>
                </c:pt>
                <c:pt idx="105">
                  <c:v>0.99745942293394896</c:v>
                </c:pt>
                <c:pt idx="106">
                  <c:v>0.99633027981249367</c:v>
                </c:pt>
                <c:pt idx="107">
                  <c:v>0.99498992846477108</c:v>
                </c:pt>
                <c:pt idx="108">
                  <c:v>0.99343666946398268</c:v>
                </c:pt>
                <c:pt idx="109">
                  <c:v>0.99166885723403086</c:v>
                </c:pt>
                <c:pt idx="110">
                  <c:v>0.98968490224244976</c:v>
                </c:pt>
                <c:pt idx="111">
                  <c:v>0.98748327325094376</c:v>
                </c:pt>
                <c:pt idx="112">
                  <c:v>0.98506249962485193</c:v>
                </c:pt>
                <c:pt idx="113">
                  <c:v>0.98242117370288273</c:v>
                </c:pt>
                <c:pt idx="114">
                  <c:v>0.97955795322850425</c:v>
                </c:pt>
                <c:pt idx="115">
                  <c:v>0.9764715638443856</c:v>
                </c:pt>
                <c:pt idx="116">
                  <c:v>0.97316080165133656</c:v>
                </c:pt>
                <c:pt idx="117">
                  <c:v>0.9696245358332074</c:v>
                </c:pt>
                <c:pt idx="118">
                  <c:v>0.96586171134924781</c:v>
                </c:pt>
                <c:pt idx="119">
                  <c:v>0.96187135169546301</c:v>
                </c:pt>
                <c:pt idx="120">
                  <c:v>0.95765256173652291</c:v>
                </c:pt>
                <c:pt idx="121">
                  <c:v>0.95320453060982824</c:v>
                </c:pt>
                <c:pt idx="122">
                  <c:v>0.94852653470336479</c:v>
                </c:pt>
                <c:pt idx="123">
                  <c:v>0.94361794070901006</c:v>
                </c:pt>
                <c:pt idx="124">
                  <c:v>0.93847820875299981</c:v>
                </c:pt>
                <c:pt idx="125">
                  <c:v>0.93310689560529125</c:v>
                </c:pt>
                <c:pt idx="126">
                  <c:v>0.92750365796959744</c:v>
                </c:pt>
                <c:pt idx="127">
                  <c:v>0.92166825585591516</c:v>
                </c:pt>
                <c:pt idx="128">
                  <c:v>0.91560055603738844</c:v>
                </c:pt>
                <c:pt idx="129">
                  <c:v>0.90930053559341084</c:v>
                </c:pt>
                <c:pt idx="130">
                  <c:v>0.90276828554089417</c:v>
                </c:pt>
                <c:pt idx="131">
                  <c:v>0.89600401455568024</c:v>
                </c:pt>
                <c:pt idx="132">
                  <c:v>0.88900805278610995</c:v>
                </c:pt>
                <c:pt idx="133">
                  <c:v>0.88178085576081477</c:v>
                </c:pt>
                <c:pt idx="134">
                  <c:v>0.87432300839282806</c:v>
                </c:pt>
                <c:pt idx="135">
                  <c:v>0.86663522908216706</c:v>
                </c:pt>
                <c:pt idx="136">
                  <c:v>0.8587183739190809</c:v>
                </c:pt>
                <c:pt idx="137">
                  <c:v>0.85057344099020582</c:v>
                </c:pt>
                <c:pt idx="138">
                  <c:v>0.84220157478990898</c:v>
                </c:pt>
                <c:pt idx="139">
                  <c:v>0.83360407073916876</c:v>
                </c:pt>
                <c:pt idx="140">
                  <c:v>0.82478237981436942</c:v>
                </c:pt>
                <c:pt idx="141">
                  <c:v>0.81573811328845081</c:v>
                </c:pt>
                <c:pt idx="142">
                  <c:v>0.80647304758690352</c:v>
                </c:pt>
                <c:pt idx="143">
                  <c:v>0.79698912926114662</c:v>
                </c:pt>
                <c:pt idx="144">
                  <c:v>0.78728848008188923</c:v>
                </c:pt>
                <c:pt idx="145">
                  <c:v>0.77737340225512142</c:v>
                </c:pt>
                <c:pt idx="146">
                  <c:v>0.76724638376344645</c:v>
                </c:pt>
                <c:pt idx="147">
                  <c:v>0.75691010383551105</c:v>
                </c:pt>
                <c:pt idx="148">
                  <c:v>0.74636743854636567</c:v>
                </c:pt>
                <c:pt idx="149">
                  <c:v>0.73562146655162886</c:v>
                </c:pt>
                <c:pt idx="150">
                  <c:v>0.72467547495840345</c:v>
                </c:pt>
                <c:pt idx="151">
                  <c:v>0.71353296533594757</c:v>
                </c:pt>
                <c:pt idx="152">
                  <c:v>0.70219765986917138</c:v>
                </c:pt>
                <c:pt idx="153">
                  <c:v>0.69067350765809077</c:v>
                </c:pt>
                <c:pt idx="154">
                  <c:v>0.67896469116644154</c:v>
                </c:pt>
                <c:pt idx="155">
                  <c:v>0.6670756328227162</c:v>
                </c:pt>
                <c:pt idx="156">
                  <c:v>0.65501100177696314</c:v>
                </c:pt>
                <c:pt idx="157">
                  <c:v>0.64277572081675571</c:v>
                </c:pt>
                <c:pt idx="158">
                  <c:v>0.63037497344580451</c:v>
                </c:pt>
                <c:pt idx="159">
                  <c:v>0.61781421112877044</c:v>
                </c:pt>
                <c:pt idx="160">
                  <c:v>0.60509916070589953</c:v>
                </c:pt>
                <c:pt idx="161">
                  <c:v>0.59223583198118579</c:v>
                </c:pt>
                <c:pt idx="162">
                  <c:v>0.57923052548784182</c:v>
                </c:pt>
                <c:pt idx="163">
                  <c:v>0.56608984043493593</c:v>
                </c:pt>
                <c:pt idx="164">
                  <c:v>0.55282068283913688</c:v>
                </c:pt>
                <c:pt idx="165">
                  <c:v>0.53943027384559361</c:v>
                </c:pt>
                <c:pt idx="166">
                  <c:v>0.52592615824205335</c:v>
                </c:pt>
                <c:pt idx="167">
                  <c:v>0.5123162131704172</c:v>
                </c:pt>
                <c:pt idx="168">
                  <c:v>0.49860865704001378</c:v>
                </c:pt>
                <c:pt idx="169">
                  <c:v>0.48481205864696353</c:v>
                </c:pt>
                <c:pt idx="170">
                  <c:v>0.47093534650409979</c:v>
                </c:pt>
                <c:pt idx="171">
                  <c:v>0.4569878183860025</c:v>
                </c:pt>
                <c:pt idx="172">
                  <c:v>0.4429791510938017</c:v>
                </c:pt>
                <c:pt idx="173">
                  <c:v>0.42891941044449489</c:v>
                </c:pt>
                <c:pt idx="174">
                  <c:v>0.41481906148963732</c:v>
                </c:pt>
                <c:pt idx="175">
                  <c:v>0.40068897896835215</c:v>
                </c:pt>
                <c:pt idx="176">
                  <c:v>0.38654045799971898</c:v>
                </c:pt>
                <c:pt idx="177">
                  <c:v>0.37238522501969484</c:v>
                </c:pt>
                <c:pt idx="178">
                  <c:v>0.35823544896785425</c:v>
                </c:pt>
                <c:pt idx="179">
                  <c:v>0.34410375272930482</c:v>
                </c:pt>
                <c:pt idx="180">
                  <c:v>0.33000322483729433</c:v>
                </c:pt>
                <c:pt idx="181">
                  <c:v>0.31594743144209592</c:v>
                </c:pt>
                <c:pt idx="182">
                  <c:v>0.30195042855191051</c:v>
                </c:pt>
                <c:pt idx="183">
                  <c:v>0.28802677455162196</c:v>
                </c:pt>
                <c:pt idx="184">
                  <c:v>0.27419154300537207</c:v>
                </c:pt>
                <c:pt idx="185">
                  <c:v>0.26046033574904975</c:v>
                </c:pt>
                <c:pt idx="186">
                  <c:v>0.24684929627890534</c:v>
                </c:pt>
                <c:pt idx="187">
                  <c:v>0.23337512344264094</c:v>
                </c:pt>
                <c:pt idx="188">
                  <c:v>0.22005508543945793</c:v>
                </c:pt>
                <c:pt idx="189">
                  <c:v>0.2069070341356693</c:v>
                </c:pt>
                <c:pt idx="190">
                  <c:v>0.19394941970263632</c:v>
                </c:pt>
                <c:pt idx="191">
                  <c:v>0.18120130558391884</c:v>
                </c:pt>
                <c:pt idx="192">
                  <c:v>0.16868238379867678</c:v>
                </c:pt>
                <c:pt idx="193">
                  <c:v>0.156412990588504</c:v>
                </c:pt>
                <c:pt idx="194">
                  <c:v>0.14441412241503065</c:v>
                </c:pt>
                <c:pt idx="195">
                  <c:v>0.13270745231577513</c:v>
                </c:pt>
                <c:pt idx="196">
                  <c:v>0.12131534662589137</c:v>
                </c:pt>
                <c:pt idx="197">
                  <c:v>0.11026088207360463</c:v>
                </c:pt>
                <c:pt idx="198">
                  <c:v>9.9567863257305073E-2</c:v>
                </c:pt>
                <c:pt idx="199">
                  <c:v>8.9260840512422335E-2</c:v>
                </c:pt>
                <c:pt idx="200">
                  <c:v>7.9365128176377642E-2</c:v>
                </c:pt>
              </c:numCache>
            </c:numRef>
          </c:val>
          <c:smooth val="0"/>
          <c:extLst>
            <c:ext xmlns:c16="http://schemas.microsoft.com/office/drawing/2014/chart" uri="{C3380CC4-5D6E-409C-BE32-E72D297353CC}">
              <c16:uniqueId val="{00000000-7796-4BAA-9310-91F54D6F3D1B}"/>
            </c:ext>
          </c:extLst>
        </c:ser>
        <c:dLbls>
          <c:showLegendKey val="0"/>
          <c:showVal val="0"/>
          <c:showCatName val="0"/>
          <c:showSerName val="0"/>
          <c:showPercent val="0"/>
          <c:showBubbleSize val="0"/>
        </c:dLbls>
        <c:marker val="1"/>
        <c:smooth val="0"/>
        <c:axId val="250055952"/>
        <c:axId val="250055560"/>
      </c:lineChart>
      <c:catAx>
        <c:axId val="25005595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x</a:t>
                </a:r>
              </a:p>
            </c:rich>
          </c:tx>
          <c:layout>
            <c:manualLayout>
              <c:xMode val="edge"/>
              <c:yMode val="edge"/>
              <c:x val="0.52252370480716936"/>
              <c:y val="0.9150953300648738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5280000" vert="horz"/>
          <a:lstStyle/>
          <a:p>
            <a:pPr>
              <a:defRPr sz="900" b="0" i="0" u="none" strike="noStrike" baseline="0">
                <a:solidFill>
                  <a:srgbClr val="000000"/>
                </a:solidFill>
                <a:latin typeface="Arial"/>
                <a:ea typeface="Arial"/>
                <a:cs typeface="Arial"/>
              </a:defRPr>
            </a:pPr>
            <a:endParaRPr lang="en-US"/>
          </a:p>
        </c:txPr>
        <c:crossAx val="250055560"/>
        <c:crosses val="autoZero"/>
        <c:auto val="1"/>
        <c:lblAlgn val="ctr"/>
        <c:lblOffset val="100"/>
        <c:tickLblSkip val="10"/>
        <c:tickMarkSkip val="1"/>
        <c:noMultiLvlLbl val="0"/>
      </c:catAx>
      <c:valAx>
        <c:axId val="25005556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y=f(x)=[exp(x)-2-x]^2 </a:t>
                </a:r>
              </a:p>
            </c:rich>
          </c:tx>
          <c:layout>
            <c:manualLayout>
              <c:xMode val="edge"/>
              <c:yMode val="edge"/>
              <c:x val="3.6036036036036036E-2"/>
              <c:y val="0.32547219333432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5005595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Figure 1. The graph of the function f(x)=[exp(x)-2-x]^2 </a:t>
            </a:r>
          </a:p>
        </c:rich>
      </c:tx>
      <c:layout>
        <c:manualLayout>
          <c:xMode val="edge"/>
          <c:yMode val="edge"/>
          <c:x val="0.16891939183277765"/>
          <c:y val="3.0660377358490566E-2"/>
        </c:manualLayout>
      </c:layout>
      <c:overlay val="0"/>
      <c:spPr>
        <a:noFill/>
        <a:ln w="25400">
          <a:noFill/>
        </a:ln>
      </c:spPr>
    </c:title>
    <c:autoTitleDeleted val="0"/>
    <c:plotArea>
      <c:layout>
        <c:manualLayout>
          <c:layoutTarget val="inner"/>
          <c:xMode val="edge"/>
          <c:yMode val="edge"/>
          <c:x val="0.11936963191870759"/>
          <c:y val="0.14150959692566714"/>
          <c:w val="0.83108290901892645"/>
          <c:h val="0.6391516794475966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FindingMin!$M$5:$M$205</c:f>
              <c:numCache>
                <c:formatCode>0.000000</c:formatCode>
                <c:ptCount val="201"/>
                <c:pt idx="0">
                  <c:v>-2.5</c:v>
                </c:pt>
                <c:pt idx="1">
                  <c:v>-2.4874999999999998</c:v>
                </c:pt>
                <c:pt idx="2">
                  <c:v>-2.4749999999999996</c:v>
                </c:pt>
                <c:pt idx="3">
                  <c:v>-2.4624999999999995</c:v>
                </c:pt>
                <c:pt idx="4">
                  <c:v>-2.4499999999999993</c:v>
                </c:pt>
                <c:pt idx="5">
                  <c:v>-2.4374999999999991</c:v>
                </c:pt>
                <c:pt idx="6">
                  <c:v>-2.4249999999999989</c:v>
                </c:pt>
                <c:pt idx="7">
                  <c:v>-2.4124999999999988</c:v>
                </c:pt>
                <c:pt idx="8">
                  <c:v>-2.3999999999999986</c:v>
                </c:pt>
                <c:pt idx="9">
                  <c:v>-2.3874999999999984</c:v>
                </c:pt>
                <c:pt idx="10">
                  <c:v>-2.3749999999999982</c:v>
                </c:pt>
                <c:pt idx="11">
                  <c:v>-2.362499999999998</c:v>
                </c:pt>
                <c:pt idx="12">
                  <c:v>-2.3499999999999979</c:v>
                </c:pt>
                <c:pt idx="13">
                  <c:v>-2.3374999999999977</c:v>
                </c:pt>
                <c:pt idx="14">
                  <c:v>-2.3249999999999975</c:v>
                </c:pt>
                <c:pt idx="15">
                  <c:v>-2.3124999999999973</c:v>
                </c:pt>
                <c:pt idx="16">
                  <c:v>-2.2999999999999972</c:v>
                </c:pt>
                <c:pt idx="17">
                  <c:v>-2.287499999999997</c:v>
                </c:pt>
                <c:pt idx="18">
                  <c:v>-2.2749999999999968</c:v>
                </c:pt>
                <c:pt idx="19">
                  <c:v>-2.2624999999999966</c:v>
                </c:pt>
                <c:pt idx="20">
                  <c:v>-2.2499999999999964</c:v>
                </c:pt>
                <c:pt idx="21">
                  <c:v>-2.2374999999999963</c:v>
                </c:pt>
                <c:pt idx="22">
                  <c:v>-2.2249999999999961</c:v>
                </c:pt>
                <c:pt idx="23">
                  <c:v>-2.2124999999999959</c:v>
                </c:pt>
                <c:pt idx="24">
                  <c:v>-2.1999999999999957</c:v>
                </c:pt>
                <c:pt idx="25">
                  <c:v>-2.1874999999999956</c:v>
                </c:pt>
                <c:pt idx="26">
                  <c:v>-2.1749999999999954</c:v>
                </c:pt>
                <c:pt idx="27">
                  <c:v>-2.1624999999999952</c:v>
                </c:pt>
                <c:pt idx="28">
                  <c:v>-2.149999999999995</c:v>
                </c:pt>
                <c:pt idx="29">
                  <c:v>-2.1374999999999948</c:v>
                </c:pt>
                <c:pt idx="30">
                  <c:v>-2.1249999999999947</c:v>
                </c:pt>
                <c:pt idx="31">
                  <c:v>-2.1124999999999945</c:v>
                </c:pt>
                <c:pt idx="32">
                  <c:v>-2.0999999999999943</c:v>
                </c:pt>
                <c:pt idx="33">
                  <c:v>-2.0874999999999941</c:v>
                </c:pt>
                <c:pt idx="34">
                  <c:v>-2.074999999999994</c:v>
                </c:pt>
                <c:pt idx="35">
                  <c:v>-2.0624999999999938</c:v>
                </c:pt>
                <c:pt idx="36">
                  <c:v>-2.0499999999999936</c:v>
                </c:pt>
                <c:pt idx="37">
                  <c:v>-2.0374999999999934</c:v>
                </c:pt>
                <c:pt idx="38">
                  <c:v>-2.0249999999999932</c:v>
                </c:pt>
                <c:pt idx="39">
                  <c:v>-2.0124999999999931</c:v>
                </c:pt>
                <c:pt idx="40">
                  <c:v>-1.9999999999999931</c:v>
                </c:pt>
                <c:pt idx="41">
                  <c:v>-1.9874999999999932</c:v>
                </c:pt>
                <c:pt idx="42">
                  <c:v>-1.9749999999999932</c:v>
                </c:pt>
                <c:pt idx="43">
                  <c:v>-1.9624999999999932</c:v>
                </c:pt>
                <c:pt idx="44">
                  <c:v>-1.9499999999999933</c:v>
                </c:pt>
                <c:pt idx="45">
                  <c:v>-1.9374999999999933</c:v>
                </c:pt>
                <c:pt idx="46">
                  <c:v>-1.9249999999999934</c:v>
                </c:pt>
                <c:pt idx="47">
                  <c:v>-1.9124999999999934</c:v>
                </c:pt>
                <c:pt idx="48">
                  <c:v>-1.8999999999999935</c:v>
                </c:pt>
                <c:pt idx="49">
                  <c:v>-1.8874999999999935</c:v>
                </c:pt>
                <c:pt idx="50">
                  <c:v>-1.8749999999999936</c:v>
                </c:pt>
                <c:pt idx="51">
                  <c:v>-1.8624999999999936</c:v>
                </c:pt>
                <c:pt idx="52">
                  <c:v>-1.8499999999999936</c:v>
                </c:pt>
                <c:pt idx="53">
                  <c:v>-1.8374999999999937</c:v>
                </c:pt>
                <c:pt idx="54">
                  <c:v>-1.8249999999999937</c:v>
                </c:pt>
                <c:pt idx="55">
                  <c:v>-1.8124999999999938</c:v>
                </c:pt>
                <c:pt idx="56">
                  <c:v>-1.7999999999999938</c:v>
                </c:pt>
                <c:pt idx="57">
                  <c:v>-1.7874999999999939</c:v>
                </c:pt>
                <c:pt idx="58">
                  <c:v>-1.7749999999999939</c:v>
                </c:pt>
                <c:pt idx="59">
                  <c:v>-1.762499999999994</c:v>
                </c:pt>
                <c:pt idx="60">
                  <c:v>-1.749999999999994</c:v>
                </c:pt>
                <c:pt idx="61">
                  <c:v>-1.737499999999994</c:v>
                </c:pt>
                <c:pt idx="62">
                  <c:v>-1.7249999999999941</c:v>
                </c:pt>
                <c:pt idx="63">
                  <c:v>-1.7124999999999941</c:v>
                </c:pt>
                <c:pt idx="64">
                  <c:v>-1.6999999999999942</c:v>
                </c:pt>
                <c:pt idx="65">
                  <c:v>-1.6874999999999942</c:v>
                </c:pt>
                <c:pt idx="66">
                  <c:v>-1.6749999999999943</c:v>
                </c:pt>
                <c:pt idx="67">
                  <c:v>-1.6624999999999943</c:v>
                </c:pt>
                <c:pt idx="68">
                  <c:v>-1.6499999999999944</c:v>
                </c:pt>
                <c:pt idx="69">
                  <c:v>-1.6374999999999944</c:v>
                </c:pt>
                <c:pt idx="70">
                  <c:v>-1.6249999999999944</c:v>
                </c:pt>
                <c:pt idx="71">
                  <c:v>-1.6124999999999945</c:v>
                </c:pt>
                <c:pt idx="72">
                  <c:v>-1.5999999999999945</c:v>
                </c:pt>
                <c:pt idx="73">
                  <c:v>-1.5874999999999946</c:v>
                </c:pt>
                <c:pt idx="74">
                  <c:v>-1.5749999999999946</c:v>
                </c:pt>
                <c:pt idx="75">
                  <c:v>-1.5624999999999947</c:v>
                </c:pt>
                <c:pt idx="76">
                  <c:v>-1.5499999999999947</c:v>
                </c:pt>
                <c:pt idx="77">
                  <c:v>-1.5374999999999948</c:v>
                </c:pt>
                <c:pt idx="78">
                  <c:v>-1.5249999999999948</c:v>
                </c:pt>
                <c:pt idx="79">
                  <c:v>-1.5124999999999948</c:v>
                </c:pt>
                <c:pt idx="80">
                  <c:v>-1.4999999999999949</c:v>
                </c:pt>
                <c:pt idx="81">
                  <c:v>-1.4874999999999949</c:v>
                </c:pt>
                <c:pt idx="82">
                  <c:v>-1.474999999999995</c:v>
                </c:pt>
                <c:pt idx="83">
                  <c:v>-1.462499999999995</c:v>
                </c:pt>
                <c:pt idx="84">
                  <c:v>-1.4499999999999951</c:v>
                </c:pt>
                <c:pt idx="85">
                  <c:v>-1.4374999999999951</c:v>
                </c:pt>
                <c:pt idx="86">
                  <c:v>-1.4249999999999952</c:v>
                </c:pt>
                <c:pt idx="87">
                  <c:v>-1.4124999999999952</c:v>
                </c:pt>
                <c:pt idx="88">
                  <c:v>-1.3999999999999952</c:v>
                </c:pt>
                <c:pt idx="89">
                  <c:v>-1.3874999999999953</c:v>
                </c:pt>
                <c:pt idx="90">
                  <c:v>-1.3749999999999953</c:v>
                </c:pt>
                <c:pt idx="91">
                  <c:v>-1.3624999999999954</c:v>
                </c:pt>
                <c:pt idx="92">
                  <c:v>-1.3499999999999954</c:v>
                </c:pt>
                <c:pt idx="93">
                  <c:v>-1.3374999999999955</c:v>
                </c:pt>
                <c:pt idx="94">
                  <c:v>-1.3249999999999955</c:v>
                </c:pt>
                <c:pt idx="95">
                  <c:v>-1.3124999999999956</c:v>
                </c:pt>
                <c:pt idx="96">
                  <c:v>-1.2999999999999956</c:v>
                </c:pt>
                <c:pt idx="97">
                  <c:v>-1.2874999999999956</c:v>
                </c:pt>
                <c:pt idx="98">
                  <c:v>-1.2749999999999957</c:v>
                </c:pt>
                <c:pt idx="99">
                  <c:v>-1.2624999999999957</c:v>
                </c:pt>
                <c:pt idx="100">
                  <c:v>-1.2499999999999958</c:v>
                </c:pt>
                <c:pt idx="101">
                  <c:v>-1.2374999999999958</c:v>
                </c:pt>
                <c:pt idx="102">
                  <c:v>-1.2249999999999959</c:v>
                </c:pt>
                <c:pt idx="103">
                  <c:v>-1.2124999999999959</c:v>
                </c:pt>
                <c:pt idx="104">
                  <c:v>-1.199999999999996</c:v>
                </c:pt>
                <c:pt idx="105">
                  <c:v>-1.187499999999996</c:v>
                </c:pt>
                <c:pt idx="106">
                  <c:v>-1.174999999999996</c:v>
                </c:pt>
                <c:pt idx="107">
                  <c:v>-1.1624999999999961</c:v>
                </c:pt>
                <c:pt idx="108">
                  <c:v>-1.1499999999999961</c:v>
                </c:pt>
                <c:pt idx="109">
                  <c:v>-1.1374999999999962</c:v>
                </c:pt>
                <c:pt idx="110">
                  <c:v>-1.1249999999999962</c:v>
                </c:pt>
                <c:pt idx="111">
                  <c:v>-1.1124999999999963</c:v>
                </c:pt>
                <c:pt idx="112">
                  <c:v>-1.0999999999999963</c:v>
                </c:pt>
                <c:pt idx="113">
                  <c:v>-1.0874999999999964</c:v>
                </c:pt>
                <c:pt idx="114">
                  <c:v>-1.0749999999999964</c:v>
                </c:pt>
                <c:pt idx="115">
                  <c:v>-1.0624999999999964</c:v>
                </c:pt>
                <c:pt idx="116">
                  <c:v>-1.0499999999999965</c:v>
                </c:pt>
                <c:pt idx="117">
                  <c:v>-1.0374999999999965</c:v>
                </c:pt>
                <c:pt idx="118">
                  <c:v>-1.0249999999999966</c:v>
                </c:pt>
                <c:pt idx="119">
                  <c:v>-1.0124999999999966</c:v>
                </c:pt>
                <c:pt idx="120">
                  <c:v>-0.99999999999999667</c:v>
                </c:pt>
                <c:pt idx="121">
                  <c:v>-0.98749999999999671</c:v>
                </c:pt>
                <c:pt idx="122">
                  <c:v>-0.97499999999999676</c:v>
                </c:pt>
                <c:pt idx="123">
                  <c:v>-0.9624999999999968</c:v>
                </c:pt>
                <c:pt idx="124">
                  <c:v>-0.94999999999999685</c:v>
                </c:pt>
                <c:pt idx="125">
                  <c:v>-0.93749999999999689</c:v>
                </c:pt>
                <c:pt idx="126">
                  <c:v>-0.92499999999999694</c:v>
                </c:pt>
                <c:pt idx="127">
                  <c:v>-0.91249999999999698</c:v>
                </c:pt>
                <c:pt idx="128">
                  <c:v>-0.89999999999999702</c:v>
                </c:pt>
                <c:pt idx="129">
                  <c:v>-0.88749999999999707</c:v>
                </c:pt>
                <c:pt idx="130">
                  <c:v>-0.87499999999999711</c:v>
                </c:pt>
                <c:pt idx="131">
                  <c:v>-0.86249999999999716</c:v>
                </c:pt>
                <c:pt idx="132">
                  <c:v>-0.8499999999999972</c:v>
                </c:pt>
                <c:pt idx="133">
                  <c:v>-0.83749999999999725</c:v>
                </c:pt>
                <c:pt idx="134">
                  <c:v>-0.82499999999999729</c:v>
                </c:pt>
                <c:pt idx="135">
                  <c:v>-0.81249999999999734</c:v>
                </c:pt>
                <c:pt idx="136">
                  <c:v>-0.79999999999999738</c:v>
                </c:pt>
                <c:pt idx="137">
                  <c:v>-0.78749999999999742</c:v>
                </c:pt>
                <c:pt idx="138">
                  <c:v>-0.77499999999999747</c:v>
                </c:pt>
                <c:pt idx="139">
                  <c:v>-0.76249999999999751</c:v>
                </c:pt>
                <c:pt idx="140">
                  <c:v>-0.74999999999999756</c:v>
                </c:pt>
                <c:pt idx="141">
                  <c:v>-0.7374999999999976</c:v>
                </c:pt>
                <c:pt idx="142">
                  <c:v>-0.72499999999999765</c:v>
                </c:pt>
                <c:pt idx="143">
                  <c:v>-0.71249999999999769</c:v>
                </c:pt>
                <c:pt idx="144">
                  <c:v>-0.69999999999999774</c:v>
                </c:pt>
                <c:pt idx="145">
                  <c:v>-0.68749999999999778</c:v>
                </c:pt>
                <c:pt idx="146">
                  <c:v>-0.67499999999999782</c:v>
                </c:pt>
                <c:pt idx="147">
                  <c:v>-0.66249999999999787</c:v>
                </c:pt>
                <c:pt idx="148">
                  <c:v>-0.64999999999999791</c:v>
                </c:pt>
                <c:pt idx="149">
                  <c:v>-0.63749999999999796</c:v>
                </c:pt>
                <c:pt idx="150">
                  <c:v>-0.624999999999998</c:v>
                </c:pt>
                <c:pt idx="151">
                  <c:v>-0.61249999999999805</c:v>
                </c:pt>
                <c:pt idx="152">
                  <c:v>-0.59999999999999809</c:v>
                </c:pt>
                <c:pt idx="153">
                  <c:v>-0.58749999999999813</c:v>
                </c:pt>
                <c:pt idx="154">
                  <c:v>-0.57499999999999818</c:v>
                </c:pt>
                <c:pt idx="155">
                  <c:v>-0.56249999999999822</c:v>
                </c:pt>
                <c:pt idx="156">
                  <c:v>-0.54999999999999827</c:v>
                </c:pt>
                <c:pt idx="157">
                  <c:v>-0.53749999999999831</c:v>
                </c:pt>
                <c:pt idx="158">
                  <c:v>-0.52499999999999836</c:v>
                </c:pt>
                <c:pt idx="159">
                  <c:v>-0.5124999999999984</c:v>
                </c:pt>
                <c:pt idx="160">
                  <c:v>-0.49999999999999839</c:v>
                </c:pt>
                <c:pt idx="161">
                  <c:v>-0.48749999999999838</c:v>
                </c:pt>
                <c:pt idx="162">
                  <c:v>-0.47499999999999837</c:v>
                </c:pt>
                <c:pt idx="163">
                  <c:v>-0.46249999999999836</c:v>
                </c:pt>
                <c:pt idx="164">
                  <c:v>-0.44999999999999835</c:v>
                </c:pt>
                <c:pt idx="165">
                  <c:v>-0.43749999999999833</c:v>
                </c:pt>
                <c:pt idx="166">
                  <c:v>-0.42499999999999832</c:v>
                </c:pt>
                <c:pt idx="167">
                  <c:v>-0.41249999999999831</c:v>
                </c:pt>
                <c:pt idx="168">
                  <c:v>-0.3999999999999983</c:v>
                </c:pt>
                <c:pt idx="169">
                  <c:v>-0.38749999999999829</c:v>
                </c:pt>
                <c:pt idx="170">
                  <c:v>-0.37499999999999828</c:v>
                </c:pt>
                <c:pt idx="171">
                  <c:v>-0.36249999999999827</c:v>
                </c:pt>
                <c:pt idx="172">
                  <c:v>-0.34999999999999826</c:v>
                </c:pt>
                <c:pt idx="173">
                  <c:v>-0.33749999999999825</c:v>
                </c:pt>
                <c:pt idx="174">
                  <c:v>-0.32499999999999823</c:v>
                </c:pt>
                <c:pt idx="175">
                  <c:v>-0.31249999999999822</c:v>
                </c:pt>
                <c:pt idx="176">
                  <c:v>-0.29999999999999821</c:v>
                </c:pt>
                <c:pt idx="177">
                  <c:v>-0.2874999999999982</c:v>
                </c:pt>
                <c:pt idx="178">
                  <c:v>-0.27499999999999819</c:v>
                </c:pt>
                <c:pt idx="179">
                  <c:v>-0.26249999999999818</c:v>
                </c:pt>
                <c:pt idx="180">
                  <c:v>-0.24999999999999817</c:v>
                </c:pt>
                <c:pt idx="181">
                  <c:v>-0.23749999999999816</c:v>
                </c:pt>
                <c:pt idx="182">
                  <c:v>-0.22499999999999815</c:v>
                </c:pt>
                <c:pt idx="183">
                  <c:v>-0.21249999999999813</c:v>
                </c:pt>
                <c:pt idx="184">
                  <c:v>-0.19999999999999812</c:v>
                </c:pt>
                <c:pt idx="185">
                  <c:v>-0.18749999999999811</c:v>
                </c:pt>
                <c:pt idx="186">
                  <c:v>-0.1749999999999981</c:v>
                </c:pt>
                <c:pt idx="187">
                  <c:v>-0.16249999999999809</c:v>
                </c:pt>
                <c:pt idx="188">
                  <c:v>-0.14999999999999808</c:v>
                </c:pt>
                <c:pt idx="189">
                  <c:v>-0.13749999999999807</c:v>
                </c:pt>
                <c:pt idx="190">
                  <c:v>-0.12499999999999807</c:v>
                </c:pt>
                <c:pt idx="191">
                  <c:v>-0.11249999999999807</c:v>
                </c:pt>
                <c:pt idx="192">
                  <c:v>-9.9999999999998077E-2</c:v>
                </c:pt>
                <c:pt idx="193">
                  <c:v>-8.7499999999998079E-2</c:v>
                </c:pt>
                <c:pt idx="194">
                  <c:v>-7.4999999999998082E-2</c:v>
                </c:pt>
                <c:pt idx="195">
                  <c:v>-6.2499999999998085E-2</c:v>
                </c:pt>
                <c:pt idx="196">
                  <c:v>-4.9999999999998088E-2</c:v>
                </c:pt>
                <c:pt idx="197">
                  <c:v>-3.749999999999809E-2</c:v>
                </c:pt>
                <c:pt idx="198">
                  <c:v>-2.499999999999809E-2</c:v>
                </c:pt>
                <c:pt idx="199">
                  <c:v>-1.2499999999998089E-2</c:v>
                </c:pt>
                <c:pt idx="200">
                  <c:v>1.9116652705264414E-15</c:v>
                </c:pt>
              </c:numCache>
            </c:numRef>
          </c:cat>
          <c:val>
            <c:numRef>
              <c:f>FindingMin!$N$5:$N$205</c:f>
              <c:numCache>
                <c:formatCode>General</c:formatCode>
                <c:ptCount val="201"/>
                <c:pt idx="0">
                  <c:v>0.33882294562298421</c:v>
                </c:pt>
                <c:pt idx="1">
                  <c:v>0.32560433222072432</c:v>
                </c:pt>
                <c:pt idx="2">
                  <c:v>0.31266324967349668</c:v>
                </c:pt>
                <c:pt idx="3">
                  <c:v>0.29999898435520783</c:v>
                </c:pt>
                <c:pt idx="4">
                  <c:v>0.28761081092035712</c:v>
                </c:pt>
                <c:pt idx="5">
                  <c:v>0.27549799213985188</c:v>
                </c:pt>
                <c:pt idx="6">
                  <c:v>0.26365977873499896</c:v>
                </c:pt>
                <c:pt idx="7">
                  <c:v>0.25209540920965728</c:v>
                </c:pt>
                <c:pt idx="8">
                  <c:v>0.2408041096805488</c:v>
                </c:pt>
                <c:pt idx="9">
                  <c:v>0.22978509370571507</c:v>
                </c:pt>
                <c:pt idx="10">
                  <c:v>0.21903756211111677</c:v>
                </c:pt>
                <c:pt idx="11">
                  <c:v>0.20856070281536468</c:v>
                </c:pt>
                <c:pt idx="12">
                  <c:v>0.19835369065257891</c:v>
                </c:pt>
                <c:pt idx="13">
                  <c:v>0.18841568719336688</c:v>
                </c:pt>
                <c:pt idx="14">
                  <c:v>0.17874584056391915</c:v>
                </c:pt>
                <c:pt idx="15">
                  <c:v>0.16934328526321127</c:v>
                </c:pt>
                <c:pt idx="16">
                  <c:v>0.16020714197831379</c:v>
                </c:pt>
                <c:pt idx="17">
                  <c:v>0.15133651739780102</c:v>
                </c:pt>
                <c:pt idx="18">
                  <c:v>0.14273050402325796</c:v>
                </c:pt>
                <c:pt idx="19">
                  <c:v>0.1343881799788815</c:v>
                </c:pt>
                <c:pt idx="20">
                  <c:v>0.12630860881917219</c:v>
                </c:pt>
                <c:pt idx="21">
                  <c:v>0.11849083933471818</c:v>
                </c:pt>
                <c:pt idx="22">
                  <c:v>0.11093390535606623</c:v>
                </c:pt>
                <c:pt idx="23">
                  <c:v>0.10363682555568204</c:v>
                </c:pt>
                <c:pt idx="24">
                  <c:v>9.6598603247999626E-2</c:v>
                </c:pt>
                <c:pt idx="25">
                  <c:v>8.9818226187560579E-2</c:v>
                </c:pt>
                <c:pt idx="26">
                  <c:v>8.329466636524481E-2</c:v>
                </c:pt>
                <c:pt idx="27">
                  <c:v>7.7026879802596593E-2</c:v>
                </c:pt>
                <c:pt idx="28">
                  <c:v>7.1013806344247726E-2</c:v>
                </c:pt>
                <c:pt idx="29">
                  <c:v>6.5254369448443469E-2</c:v>
                </c:pt>
                <c:pt idx="30">
                  <c:v>5.9747475975676909E-2</c:v>
                </c:pt>
                <c:pt idx="31">
                  <c:v>5.4492015975435681E-2</c:v>
                </c:pt>
                <c:pt idx="32">
                  <c:v>4.9486862471071834E-2</c:v>
                </c:pt>
                <c:pt idx="33">
                  <c:v>4.4730871242799508E-2</c:v>
                </c:pt>
                <c:pt idx="34">
                  <c:v>4.0222880608831946E-2</c:v>
                </c:pt>
                <c:pt idx="35">
                  <c:v>3.5961711204668276E-2</c:v>
                </c:pt>
                <c:pt idx="36">
                  <c:v>3.1946165760539713E-2</c:v>
                </c:pt>
                <c:pt idx="37">
                  <c:v>2.8175028877029995E-2</c:v>
                </c:pt>
                <c:pt idx="38">
                  <c:v>2.4647066798883194E-2</c:v>
                </c:pt>
                <c:pt idx="39">
                  <c:v>2.1361027187013045E-2</c:v>
                </c:pt>
                <c:pt idx="40">
                  <c:v>1.831563888873259E-2</c:v>
                </c:pt>
                <c:pt idx="41">
                  <c:v>1.5509611706219357E-2</c:v>
                </c:pt>
                <c:pt idx="42">
                  <c:v>1.2941636163237851E-2</c:v>
                </c:pt>
                <c:pt idx="43">
                  <c:v>1.061038327013771E-2</c:v>
                </c:pt>
                <c:pt idx="44">
                  <c:v>8.5145042871519663E-3</c:v>
                </c:pt>
                <c:pt idx="45">
                  <c:v>6.6526304860171715E-3</c:v>
                </c:pt>
                <c:pt idx="46">
                  <c:v>5.0233729099422595E-3</c:v>
                </c:pt>
                <c:pt idx="47">
                  <c:v>3.6253221319526604E-3</c:v>
                </c:pt>
                <c:pt idx="48">
                  <c:v>2.4570480116380298E-3</c:v>
                </c:pt>
                <c:pt idx="49">
                  <c:v>1.5170994503350291E-3</c:v>
                </c:pt>
                <c:pt idx="50">
                  <c:v>8.040041447766827E-4</c:v>
                </c:pt>
                <c:pt idx="51">
                  <c:v>3.1626833924334937E-4</c:v>
                </c:pt>
                <c:pt idx="52">
                  <c:v>5.2376576251027155E-5</c:v>
                </c:pt>
                <c:pt idx="53">
                  <c:v>1.0791445815644157E-5</c:v>
                </c:pt>
                <c:pt idx="54">
                  <c:v>1.8995333333362419E-4</c:v>
                </c:pt>
                <c:pt idx="55">
                  <c:v>5.8828016612134254E-4</c:v>
                </c:pt>
                <c:pt idx="56">
                  <c:v>1.204167158658303E-3</c:v>
                </c:pt>
                <c:pt idx="57">
                  <c:v>2.0359865565812078E-3</c:v>
                </c:pt>
                <c:pt idx="58">
                  <c:v>3.0820873794784594E-3</c:v>
                </c:pt>
                <c:pt idx="59">
                  <c:v>4.3407951625370617E-3</c:v>
                </c:pt>
                <c:pt idx="60">
                  <c:v>5.8104116970966926E-3</c:v>
                </c:pt>
                <c:pt idx="61">
                  <c:v>7.4892147701679356E-3</c:v>
                </c:pt>
                <c:pt idx="62">
                  <c:v>9.375457902974756E-3</c:v>
                </c:pt>
                <c:pt idx="63">
                  <c:v>1.1467370088583749E-2</c:v>
                </c:pt>
                <c:pt idx="64">
                  <c:v>1.3763155528686384E-2</c:v>
                </c:pt>
                <c:pt idx="65">
                  <c:v>1.6260993369602062E-2</c:v>
                </c:pt>
                <c:pt idx="66">
                  <c:v>1.895903743757427E-2</c:v>
                </c:pt>
                <c:pt idx="67">
                  <c:v>2.185541597343469E-2</c:v>
                </c:pt>
                <c:pt idx="68">
                  <c:v>2.494823136671356E-2</c:v>
                </c:pt>
                <c:pt idx="69">
                  <c:v>2.8235559889277041E-2</c:v>
                </c:pt>
                <c:pt idx="70">
                  <c:v>3.1715451428578088E-2</c:v>
                </c:pt>
                <c:pt idx="71">
                  <c:v>3.5385929220608216E-2</c:v>
                </c:pt>
                <c:pt idx="72">
                  <c:v>3.9244989582643587E-2</c:v>
                </c:pt>
                <c:pt idx="73">
                  <c:v>4.3290601645880646E-2</c:v>
                </c:pt>
                <c:pt idx="74">
                  <c:v>4.7520707088062338E-2</c:v>
                </c:pt>
                <c:pt idx="75">
                  <c:v>5.193321986619874E-2</c:v>
                </c:pt>
                <c:pt idx="76">
                  <c:v>5.6526025949491021E-2</c:v>
                </c:pt>
                <c:pt idx="77">
                  <c:v>6.1296983052570607E-2</c:v>
                </c:pt>
                <c:pt idx="78">
                  <c:v>6.624392036917183E-2</c:v>
                </c:pt>
                <c:pt idx="79">
                  <c:v>7.1364638306359168E-2</c:v>
                </c:pt>
                <c:pt idx="80">
                  <c:v>7.6656908219436284E-2</c:v>
                </c:pt>
                <c:pt idx="81">
                  <c:v>8.2118472147667973E-2</c:v>
                </c:pt>
                <c:pt idx="82">
                  <c:v>8.7747042550951171E-2</c:v>
                </c:pt>
                <c:pt idx="83">
                  <c:v>9.3540302047576976E-2</c:v>
                </c:pt>
                <c:pt idx="84">
                  <c:v>9.9495903153232215E-2</c:v>
                </c:pt>
                <c:pt idx="85">
                  <c:v>0.10561146802138929</c:v>
                </c:pt>
                <c:pt idx="86">
                  <c:v>0.11188458818524739</c:v>
                </c:pt>
                <c:pt idx="87">
                  <c:v>0.11831282430138437</c:v>
                </c:pt>
                <c:pt idx="88">
                  <c:v>0.12489370589529269</c:v>
                </c:pt>
                <c:pt idx="89">
                  <c:v>0.13162473110897441</c:v>
                </c:pt>
                <c:pt idx="90">
                  <c:v>0.13850336645077713</c:v>
                </c:pt>
                <c:pt idx="91">
                  <c:v>0.14552704654766108</c:v>
                </c:pt>
                <c:pt idx="92">
                  <c:v>0.15269317390009354</c:v>
                </c:pt>
                <c:pt idx="93">
                  <c:v>0.15999911863977065</c:v>
                </c:pt>
                <c:pt idx="94">
                  <c:v>0.16744221829038144</c:v>
                </c:pt>
                <c:pt idx="95">
                  <c:v>0.17501977753162623</c:v>
                </c:pt>
                <c:pt idx="96">
                  <c:v>0.18272906796671892</c:v>
                </c:pt>
                <c:pt idx="97">
                  <c:v>0.19056732789360134</c:v>
                </c:pt>
                <c:pt idx="98">
                  <c:v>0.19853176208011536</c:v>
                </c:pt>
                <c:pt idx="99">
                  <c:v>0.20661954154337728</c:v>
                </c:pt>
                <c:pt idx="100">
                  <c:v>0.21482780333361648</c:v>
                </c:pt>
                <c:pt idx="101">
                  <c:v>0.22315365032273882</c:v>
                </c:pt>
                <c:pt idx="102">
                  <c:v>0.23159415099789737</c:v>
                </c:pt>
                <c:pt idx="103">
                  <c:v>0.24014633926034867</c:v>
                </c:pt>
                <c:pt idx="104">
                  <c:v>0.24880721422989197</c:v>
                </c:pt>
                <c:pt idx="105">
                  <c:v>0.25757374005519501</c:v>
                </c:pt>
                <c:pt idx="106">
                  <c:v>0.26644284573031979</c:v>
                </c:pt>
                <c:pt idx="107">
                  <c:v>0.27541142491777282</c:v>
                </c:pt>
                <c:pt idx="108">
                  <c:v>0.28447633577841613</c:v>
                </c:pt>
                <c:pt idx="109">
                  <c:v>0.29363440080858216</c:v>
                </c:pt>
                <c:pt idx="110">
                  <c:v>0.30288240668475497</c:v>
                </c:pt>
                <c:pt idx="111">
                  <c:v>0.31221710411618087</c:v>
                </c:pt>
                <c:pt idx="112">
                  <c:v>0.3216352077057934</c:v>
                </c:pt>
                <c:pt idx="113">
                  <c:v>0.3311333958198473</c:v>
                </c:pt>
                <c:pt idx="114">
                  <c:v>0.34070831046666128</c:v>
                </c:pt>
                <c:pt idx="115">
                  <c:v>0.35035655718489522</c:v>
                </c:pt>
                <c:pt idx="116">
                  <c:v>0.36007470494178945</c:v>
                </c:pt>
                <c:pt idx="117">
                  <c:v>0.36985928604181667</c:v>
                </c:pt>
                <c:pt idx="118">
                  <c:v>0.37970679604620139</c:v>
                </c:pt>
                <c:pt idx="119">
                  <c:v>0.38961369370378568</c:v>
                </c:pt>
                <c:pt idx="120">
                  <c:v>0.39957640089373053</c:v>
                </c:pt>
                <c:pt idx="121">
                  <c:v>0.40959130258055654</c:v>
                </c:pt>
                <c:pt idx="122">
                  <c:v>0.41965474678204462</c:v>
                </c:pt>
                <c:pt idx="123">
                  <c:v>0.42976304455053599</c:v>
                </c:pt>
                <c:pt idx="124">
                  <c:v>0.43991246996818489</c:v>
                </c:pt>
                <c:pt idx="125">
                  <c:v>0.45009926015673313</c:v>
                </c:pt>
                <c:pt idx="126">
                  <c:v>0.46031961530239557</c:v>
                </c:pt>
                <c:pt idx="127">
                  <c:v>0.47056969869646681</c:v>
                </c:pt>
                <c:pt idx="128">
                  <c:v>0.48084563679227094</c:v>
                </c:pt>
                <c:pt idx="129">
                  <c:v>0.49114351927909949</c:v>
                </c:pt>
                <c:pt idx="130">
                  <c:v>0.50145939917380367</c:v>
                </c:pt>
                <c:pt idx="131">
                  <c:v>0.51178929293072406</c:v>
                </c:pt>
                <c:pt idx="132">
                  <c:v>0.52212918057066549</c:v>
                </c:pt>
                <c:pt idx="133">
                  <c:v>0.53247500582963903</c:v>
                </c:pt>
                <c:pt idx="134">
                  <c:v>0.54282267632812564</c:v>
                </c:pt>
                <c:pt idx="135">
                  <c:v>0.55316806376163175</c:v>
                </c:pt>
                <c:pt idx="136">
                  <c:v>0.56350700411332555</c:v>
                </c:pt>
                <c:pt idx="137">
                  <c:v>0.57383529788958387</c:v>
                </c:pt>
                <c:pt idx="138">
                  <c:v>0.58414871037927896</c:v>
                </c:pt>
                <c:pt idx="139">
                  <c:v>0.59444297193768525</c:v>
                </c:pt>
                <c:pt idx="140">
                  <c:v>0.60471377829589501</c:v>
                </c:pt>
                <c:pt idx="141">
                  <c:v>0.614956790896662</c:v>
                </c:pt>
                <c:pt idx="142">
                  <c:v>0.62516763725762514</c:v>
                </c:pt>
                <c:pt idx="143">
                  <c:v>0.63534191136288587</c:v>
                </c:pt>
                <c:pt idx="144">
                  <c:v>0.64547517408394339</c:v>
                </c:pt>
                <c:pt idx="145">
                  <c:v>0.65556295363102834</c:v>
                </c:pt>
                <c:pt idx="146">
                  <c:v>0.66560074603588792</c:v>
                </c:pt>
                <c:pt idx="147">
                  <c:v>0.67558401566713422</c:v>
                </c:pt>
                <c:pt idx="148">
                  <c:v>0.68550819577927091</c:v>
                </c:pt>
                <c:pt idx="149">
                  <c:v>0.69536868909656613</c:v>
                </c:pt>
                <c:pt idx="150">
                  <c:v>0.70516086843296877</c:v>
                </c:pt>
                <c:pt idx="151">
                  <c:v>0.71488007734929016</c:v>
                </c:pt>
                <c:pt idx="152">
                  <c:v>0.72452163084892973</c:v>
                </c:pt>
                <c:pt idx="153">
                  <c:v>0.73408081611343201</c:v>
                </c:pt>
                <c:pt idx="154">
                  <c:v>0.74355289327923091</c:v>
                </c:pt>
                <c:pt idx="155">
                  <c:v>0.75293309625694738</c:v>
                </c:pt>
                <c:pt idx="156">
                  <c:v>0.76221663359466973</c:v>
                </c:pt>
                <c:pt idx="157">
                  <c:v>0.77139868938666745</c:v>
                </c:pt>
                <c:pt idx="158">
                  <c:v>0.780474424229052</c:v>
                </c:pt>
                <c:pt idx="159">
                  <c:v>0.78943897622391423</c:v>
                </c:pt>
                <c:pt idx="160">
                  <c:v>0.79828746203354284</c:v>
                </c:pt>
                <c:pt idx="161">
                  <c:v>0.80701497798635125</c:v>
                </c:pt>
                <c:pt idx="162">
                  <c:v>0.81561660123619117</c:v>
                </c:pt>
                <c:pt idx="163">
                  <c:v>0.8240873909767934</c:v>
                </c:pt>
                <c:pt idx="164">
                  <c:v>0.83242238971310289</c:v>
                </c:pt>
                <c:pt idx="165">
                  <c:v>0.84061662459134656</c:v>
                </c:pt>
                <c:pt idx="166">
                  <c:v>0.84866510878970913</c:v>
                </c:pt>
                <c:pt idx="167">
                  <c:v>0.8565628429715525</c:v>
                </c:pt>
                <c:pt idx="168">
                  <c:v>0.86430481680317672</c:v>
                </c:pt>
                <c:pt idx="169">
                  <c:v>0.87188601053815551</c:v>
                </c:pt>
                <c:pt idx="170">
                  <c:v>0.87930139667035645</c:v>
                </c:pt>
                <c:pt idx="171">
                  <c:v>0.88654594165781064</c:v>
                </c:pt>
                <c:pt idx="172">
                  <c:v>0.89361460771965606</c:v>
                </c:pt>
                <c:pt idx="173">
                  <c:v>0.90050235470842932</c:v>
                </c:pt>
                <c:pt idx="174">
                  <c:v>0.90720414206007549</c:v>
                </c:pt>
                <c:pt idx="175">
                  <c:v>0.91371493082407507</c:v>
                </c:pt>
                <c:pt idx="176">
                  <c:v>0.9200296857761866</c:v>
                </c:pt>
                <c:pt idx="177">
                  <c:v>0.9261433776163438</c:v>
                </c:pt>
                <c:pt idx="178">
                  <c:v>0.93205098525434671</c:v>
                </c:pt>
                <c:pt idx="179">
                  <c:v>0.93774749818603331</c:v>
                </c:pt>
                <c:pt idx="180">
                  <c:v>0.94322791896271696</c:v>
                </c:pt>
                <c:pt idx="181">
                  <c:v>0.94848726575672571</c:v>
                </c:pt>
                <c:pt idx="182">
                  <c:v>0.95352057502598586</c:v>
                </c:pt>
                <c:pt idx="183">
                  <c:v>0.95832290428065559</c:v>
                </c:pt>
                <c:pt idx="184">
                  <c:v>0.96288933495490503</c:v>
                </c:pt>
                <c:pt idx="185">
                  <c:v>0.9672149753870215</c:v>
                </c:pt>
                <c:pt idx="186">
                  <c:v>0.97129496391110737</c:v>
                </c:pt>
                <c:pt idx="187">
                  <c:v>0.97512447206373476</c:v>
                </c:pt>
                <c:pt idx="188">
                  <c:v>0.97869870790900415</c:v>
                </c:pt>
                <c:pt idx="189">
                  <c:v>0.98201291948555602</c:v>
                </c:pt>
                <c:pt idx="190">
                  <c:v>0.98506239837917264</c:v>
                </c:pt>
                <c:pt idx="191">
                  <c:v>0.98784248342473113</c:v>
                </c:pt>
                <c:pt idx="192">
                  <c:v>0.99034856454133591</c:v>
                </c:pt>
                <c:pt idx="193">
                  <c:v>0.99257608670460096</c:v>
                </c:pt>
                <c:pt idx="194">
                  <c:v>0.99452055406012929</c:v>
                </c:pt>
                <c:pt idx="195">
                  <c:v>0.99617753418237687</c:v>
                </c:pt>
                <c:pt idx="196">
                  <c:v>0.99754266248317525</c:v>
                </c:pt>
                <c:pt idx="197">
                  <c:v>0.99861164677432768</c:v>
                </c:pt>
                <c:pt idx="198">
                  <c:v>0.99938027198880031</c:v>
                </c:pt>
                <c:pt idx="199">
                  <c:v>0.99984440506515404</c:v>
                </c:pt>
                <c:pt idx="200">
                  <c:v>0.99999999999999978</c:v>
                </c:pt>
              </c:numCache>
            </c:numRef>
          </c:val>
          <c:smooth val="0"/>
          <c:extLst>
            <c:ext xmlns:c16="http://schemas.microsoft.com/office/drawing/2014/chart" uri="{C3380CC4-5D6E-409C-BE32-E72D297353CC}">
              <c16:uniqueId val="{00000000-E31B-444B-A351-AF92D6295DDC}"/>
            </c:ext>
          </c:extLst>
        </c:ser>
        <c:dLbls>
          <c:showLegendKey val="0"/>
          <c:showVal val="0"/>
          <c:showCatName val="0"/>
          <c:showSerName val="0"/>
          <c:showPercent val="0"/>
          <c:showBubbleSize val="0"/>
        </c:dLbls>
        <c:marker val="1"/>
        <c:smooth val="0"/>
        <c:axId val="251746760"/>
        <c:axId val="241525704"/>
      </c:lineChart>
      <c:catAx>
        <c:axId val="251746760"/>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x</a:t>
                </a:r>
              </a:p>
            </c:rich>
          </c:tx>
          <c:layout>
            <c:manualLayout>
              <c:xMode val="edge"/>
              <c:yMode val="edge"/>
              <c:x val="0.52252370480716936"/>
              <c:y val="0.9150953300648738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5280000" vert="horz"/>
          <a:lstStyle/>
          <a:p>
            <a:pPr>
              <a:defRPr sz="900" b="0" i="0" u="none" strike="noStrike" baseline="0">
                <a:solidFill>
                  <a:srgbClr val="000000"/>
                </a:solidFill>
                <a:latin typeface="Arial"/>
                <a:ea typeface="Arial"/>
                <a:cs typeface="Arial"/>
              </a:defRPr>
            </a:pPr>
            <a:endParaRPr lang="en-US"/>
          </a:p>
        </c:txPr>
        <c:crossAx val="241525704"/>
        <c:crosses val="autoZero"/>
        <c:auto val="1"/>
        <c:lblAlgn val="ctr"/>
        <c:lblOffset val="100"/>
        <c:tickLblSkip val="10"/>
        <c:tickMarkSkip val="10"/>
        <c:noMultiLvlLbl val="0"/>
      </c:catAx>
      <c:valAx>
        <c:axId val="24152570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y=f(x)=[exp(x)-2-x]^2 </a:t>
                </a:r>
              </a:p>
            </c:rich>
          </c:tx>
          <c:layout>
            <c:manualLayout>
              <c:xMode val="edge"/>
              <c:yMode val="edge"/>
              <c:x val="3.6036036036036036E-2"/>
              <c:y val="0.32547219333432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5174676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ru-RU" sz="1200" b="0" i="0" baseline="0">
                <a:effectLst/>
                <a:latin typeface="+mn-lt"/>
              </a:rPr>
              <a:t>Рисунок </a:t>
            </a:r>
            <a:r>
              <a:rPr lang="en-US" sz="1200" b="0" i="0" baseline="0">
                <a:effectLst/>
                <a:latin typeface="+mn-lt"/>
              </a:rPr>
              <a:t>6</a:t>
            </a:r>
            <a:r>
              <a:rPr lang="ru-RU" sz="1200" b="0" i="0" baseline="0">
                <a:effectLst/>
                <a:latin typeface="+mn-lt"/>
              </a:rPr>
              <a:t>.1 График зависимости Количества итераций от </a:t>
            </a:r>
            <a:endParaRPr lang="en-US" sz="1200" b="0" baseline="0">
              <a:effectLst/>
              <a:latin typeface="+mn-lt"/>
            </a:endParaRPr>
          </a:p>
          <a:p>
            <a:pPr>
              <a:defRPr sz="1200"/>
            </a:pPr>
            <a:r>
              <a:rPr lang="ru-RU" sz="1200" b="0" i="0" baseline="0">
                <a:effectLst/>
                <a:latin typeface="+mn-lt"/>
              </a:rPr>
              <a:t>Допустимой погрешности</a:t>
            </a:r>
            <a:endParaRPr lang="en-US" sz="1200" b="0" baseline="0">
              <a:effectLst/>
              <a:latin typeface="+mn-lt"/>
            </a:endParaRPr>
          </a:p>
        </c:rich>
      </c:tx>
      <c:layout>
        <c:manualLayout>
          <c:xMode val="edge"/>
          <c:yMode val="edge"/>
          <c:x val="0.29107801079718715"/>
          <c:y val="2.207423792169833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sheet5!$I$12:$I$22</c:f>
              <c:numCache>
                <c:formatCode>General</c:formatCode>
                <c:ptCount val="11"/>
                <c:pt idx="0">
                  <c:v>10</c:v>
                </c:pt>
                <c:pt idx="1">
                  <c:v>1</c:v>
                </c:pt>
                <c:pt idx="2">
                  <c:v>0.1</c:v>
                </c:pt>
                <c:pt idx="3">
                  <c:v>0.01</c:v>
                </c:pt>
                <c:pt idx="4">
                  <c:v>1E-3</c:v>
                </c:pt>
                <c:pt idx="5">
                  <c:v>1E-4</c:v>
                </c:pt>
                <c:pt idx="6">
                  <c:v>1.0000000000000001E-5</c:v>
                </c:pt>
                <c:pt idx="7">
                  <c:v>9.9999999999999995E-7</c:v>
                </c:pt>
                <c:pt idx="8">
                  <c:v>9.9999999999999995E-8</c:v>
                </c:pt>
                <c:pt idx="9">
                  <c:v>1E-8</c:v>
                </c:pt>
                <c:pt idx="10">
                  <c:v>1.0000000000000001E-9</c:v>
                </c:pt>
              </c:numCache>
            </c:numRef>
          </c:cat>
          <c:val>
            <c:numRef>
              <c:f>sheet5!$G$12:$G$22</c:f>
              <c:numCache>
                <c:formatCode>0</c:formatCode>
                <c:ptCount val="11"/>
                <c:pt idx="0">
                  <c:v>1256</c:v>
                </c:pt>
                <c:pt idx="1">
                  <c:v>1268</c:v>
                </c:pt>
                <c:pt idx="2">
                  <c:v>1279</c:v>
                </c:pt>
                <c:pt idx="3">
                  <c:v>1294</c:v>
                </c:pt>
                <c:pt idx="4">
                  <c:v>1310</c:v>
                </c:pt>
                <c:pt idx="5">
                  <c:v>1326</c:v>
                </c:pt>
                <c:pt idx="6">
                  <c:v>1339</c:v>
                </c:pt>
                <c:pt idx="7">
                  <c:v>1346</c:v>
                </c:pt>
                <c:pt idx="8">
                  <c:v>1347</c:v>
                </c:pt>
                <c:pt idx="9">
                  <c:v>1348</c:v>
                </c:pt>
                <c:pt idx="10">
                  <c:v>1349</c:v>
                </c:pt>
              </c:numCache>
            </c:numRef>
          </c:val>
          <c:smooth val="0"/>
          <c:extLst>
            <c:ext xmlns:c16="http://schemas.microsoft.com/office/drawing/2014/chart" uri="{C3380CC4-5D6E-409C-BE32-E72D297353CC}">
              <c16:uniqueId val="{00000000-46DA-48F3-BB18-10E557A684F1}"/>
            </c:ext>
          </c:extLst>
        </c:ser>
        <c:dLbls>
          <c:showLegendKey val="0"/>
          <c:showVal val="0"/>
          <c:showCatName val="0"/>
          <c:showSerName val="0"/>
          <c:showPercent val="0"/>
          <c:showBubbleSize val="0"/>
        </c:dLbls>
        <c:marker val="1"/>
        <c:smooth val="0"/>
        <c:axId val="281498264"/>
        <c:axId val="280236800"/>
      </c:lineChart>
      <c:catAx>
        <c:axId val="281498264"/>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baseline="0">
                    <a:solidFill>
                      <a:sysClr val="windowText" lastClr="000000">
                        <a:lumMod val="65000"/>
                        <a:lumOff val="35000"/>
                      </a:sysClr>
                    </a:solidFill>
                    <a:latin typeface="+mn-lt"/>
                    <a:ea typeface="+mn-ea"/>
                    <a:cs typeface="+mn-cs"/>
                  </a:defRPr>
                </a:pPr>
                <a:r>
                  <a:rPr lang="ru-RU" sz="1400" b="0" i="0" baseline="0">
                    <a:effectLst/>
                  </a:rPr>
                  <a:t>Допустимая погрешность</a:t>
                </a:r>
                <a:endParaRPr lang="en-US" sz="1400" b="0" baseline="0"/>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80236800"/>
        <c:crosses val="autoZero"/>
        <c:auto val="1"/>
        <c:lblAlgn val="ctr"/>
        <c:lblOffset val="100"/>
        <c:noMultiLvlLbl val="0"/>
      </c:catAx>
      <c:valAx>
        <c:axId val="280236800"/>
        <c:scaling>
          <c:orientation val="minMax"/>
          <c:min val="12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ru-RU" sz="1200" b="0" i="0" baseline="0">
                    <a:effectLst/>
                  </a:rPr>
                  <a:t>Количество итераций</a:t>
                </a:r>
                <a:endParaRPr lang="en-US" sz="1200" b="0" baseline="0">
                  <a:effectLst/>
                </a:endParaRPr>
              </a:p>
            </c:rich>
          </c:tx>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81498264"/>
        <c:crosses val="autoZero"/>
        <c:crossBetween val="between"/>
        <c:majorUnit val="4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ru-RU" sz="1200" b="1" i="0" baseline="0">
                <a:effectLst/>
              </a:rPr>
              <a:t>Рисунок </a:t>
            </a:r>
            <a:r>
              <a:rPr lang="en-US" sz="1200" b="1" i="0" baseline="0">
                <a:effectLst/>
              </a:rPr>
              <a:t>6</a:t>
            </a:r>
            <a:r>
              <a:rPr lang="ru-RU" sz="1200" b="1" i="0" baseline="0">
                <a:effectLst/>
              </a:rPr>
              <a:t>.2 График зависимости Количества итераций от </a:t>
            </a:r>
            <a:endParaRPr lang="en-US" sz="1200">
              <a:effectLst/>
            </a:endParaRPr>
          </a:p>
          <a:p>
            <a:pPr>
              <a:defRPr sz="1200"/>
            </a:pPr>
            <a:r>
              <a:rPr lang="ru-RU" sz="1200" b="1" i="0" baseline="0">
                <a:effectLst/>
              </a:rPr>
              <a:t>Величины начального шага поиска </a:t>
            </a:r>
            <a:r>
              <a:rPr lang="en-US" sz="1200" b="1" i="1" baseline="0">
                <a:effectLst/>
              </a:rPr>
              <a:t>h</a:t>
            </a:r>
            <a:r>
              <a:rPr lang="en-US" sz="1200" b="1" i="1" baseline="30000">
                <a:effectLst/>
              </a:rPr>
              <a:t>0</a:t>
            </a:r>
            <a:r>
              <a:rPr lang="en-US" sz="1200" b="0" i="0" baseline="0">
                <a:effectLst/>
              </a:rPr>
              <a:t> </a:t>
            </a:r>
            <a:endParaRPr lang="en-US" sz="1200">
              <a:effectLst/>
            </a:endParaRP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sheet5!$H$26:$H$59</c:f>
              <c:numCache>
                <c:formatCode>0.00</c:formatCode>
                <c:ptCount val="34"/>
                <c:pt idx="0">
                  <c:v>9100000</c:v>
                </c:pt>
                <c:pt idx="1">
                  <c:v>9102000</c:v>
                </c:pt>
                <c:pt idx="2">
                  <c:v>9104000</c:v>
                </c:pt>
                <c:pt idx="3">
                  <c:v>9106000</c:v>
                </c:pt>
                <c:pt idx="4">
                  <c:v>9108000</c:v>
                </c:pt>
                <c:pt idx="5">
                  <c:v>9110000</c:v>
                </c:pt>
                <c:pt idx="6">
                  <c:v>9112000</c:v>
                </c:pt>
                <c:pt idx="7">
                  <c:v>9114000</c:v>
                </c:pt>
                <c:pt idx="8">
                  <c:v>9116000</c:v>
                </c:pt>
                <c:pt idx="9">
                  <c:v>9118000</c:v>
                </c:pt>
                <c:pt idx="10">
                  <c:v>9120000</c:v>
                </c:pt>
                <c:pt idx="11">
                  <c:v>9122000</c:v>
                </c:pt>
                <c:pt idx="12">
                  <c:v>9124000</c:v>
                </c:pt>
                <c:pt idx="13">
                  <c:v>9126000</c:v>
                </c:pt>
                <c:pt idx="14">
                  <c:v>9128000</c:v>
                </c:pt>
                <c:pt idx="15">
                  <c:v>9130000</c:v>
                </c:pt>
                <c:pt idx="16">
                  <c:v>9132000</c:v>
                </c:pt>
                <c:pt idx="17">
                  <c:v>9134000</c:v>
                </c:pt>
                <c:pt idx="18">
                  <c:v>9136000</c:v>
                </c:pt>
                <c:pt idx="19">
                  <c:v>9138000</c:v>
                </c:pt>
                <c:pt idx="20">
                  <c:v>9140000</c:v>
                </c:pt>
                <c:pt idx="21">
                  <c:v>9142000</c:v>
                </c:pt>
                <c:pt idx="22">
                  <c:v>9144000</c:v>
                </c:pt>
                <c:pt idx="23">
                  <c:v>9146000</c:v>
                </c:pt>
                <c:pt idx="24">
                  <c:v>9148000</c:v>
                </c:pt>
                <c:pt idx="25">
                  <c:v>9150000</c:v>
                </c:pt>
                <c:pt idx="26">
                  <c:v>9152000</c:v>
                </c:pt>
                <c:pt idx="27">
                  <c:v>9154000</c:v>
                </c:pt>
                <c:pt idx="28">
                  <c:v>9156000</c:v>
                </c:pt>
                <c:pt idx="29">
                  <c:v>9158000</c:v>
                </c:pt>
                <c:pt idx="30">
                  <c:v>9160000</c:v>
                </c:pt>
                <c:pt idx="31">
                  <c:v>9162000</c:v>
                </c:pt>
                <c:pt idx="32">
                  <c:v>9164000</c:v>
                </c:pt>
                <c:pt idx="33">
                  <c:v>9166000</c:v>
                </c:pt>
              </c:numCache>
            </c:numRef>
          </c:cat>
          <c:val>
            <c:numRef>
              <c:f>sheet5!$G$26:$G$59</c:f>
              <c:numCache>
                <c:formatCode>0</c:formatCode>
                <c:ptCount val="34"/>
                <c:pt idx="0">
                  <c:v>1349</c:v>
                </c:pt>
                <c:pt idx="1">
                  <c:v>1219</c:v>
                </c:pt>
                <c:pt idx="2">
                  <c:v>1136</c:v>
                </c:pt>
                <c:pt idx="3">
                  <c:v>1041</c:v>
                </c:pt>
                <c:pt idx="4">
                  <c:v>1001</c:v>
                </c:pt>
                <c:pt idx="5">
                  <c:v>922</c:v>
                </c:pt>
                <c:pt idx="6">
                  <c:v>886</c:v>
                </c:pt>
                <c:pt idx="7">
                  <c:v>841</c:v>
                </c:pt>
                <c:pt idx="8">
                  <c:v>785</c:v>
                </c:pt>
                <c:pt idx="9">
                  <c:v>770</c:v>
                </c:pt>
                <c:pt idx="10">
                  <c:v>720</c:v>
                </c:pt>
                <c:pt idx="11">
                  <c:v>688</c:v>
                </c:pt>
                <c:pt idx="12">
                  <c:v>678</c:v>
                </c:pt>
                <c:pt idx="13">
                  <c:v>660</c:v>
                </c:pt>
                <c:pt idx="14">
                  <c:v>615</c:v>
                </c:pt>
                <c:pt idx="15">
                  <c:v>597</c:v>
                </c:pt>
                <c:pt idx="16">
                  <c:v>584</c:v>
                </c:pt>
                <c:pt idx="17">
                  <c:v>588</c:v>
                </c:pt>
                <c:pt idx="18">
                  <c:v>564</c:v>
                </c:pt>
                <c:pt idx="19">
                  <c:v>528</c:v>
                </c:pt>
                <c:pt idx="20">
                  <c:v>542</c:v>
                </c:pt>
                <c:pt idx="21">
                  <c:v>505</c:v>
                </c:pt>
                <c:pt idx="22">
                  <c:v>490</c:v>
                </c:pt>
                <c:pt idx="23">
                  <c:v>479</c:v>
                </c:pt>
                <c:pt idx="24">
                  <c:v>475</c:v>
                </c:pt>
                <c:pt idx="25">
                  <c:v>462</c:v>
                </c:pt>
                <c:pt idx="26">
                  <c:v>447</c:v>
                </c:pt>
                <c:pt idx="27">
                  <c:v>447</c:v>
                </c:pt>
                <c:pt idx="28">
                  <c:v>430</c:v>
                </c:pt>
                <c:pt idx="29">
                  <c:v>440</c:v>
                </c:pt>
                <c:pt idx="30">
                  <c:v>413</c:v>
                </c:pt>
                <c:pt idx="31">
                  <c:v>416</c:v>
                </c:pt>
                <c:pt idx="32">
                  <c:v>437</c:v>
                </c:pt>
                <c:pt idx="33">
                  <c:v>441</c:v>
                </c:pt>
              </c:numCache>
            </c:numRef>
          </c:val>
          <c:smooth val="0"/>
          <c:extLst>
            <c:ext xmlns:c16="http://schemas.microsoft.com/office/drawing/2014/chart" uri="{C3380CC4-5D6E-409C-BE32-E72D297353CC}">
              <c16:uniqueId val="{00000000-47E9-4631-BD89-0CF602BF2FD3}"/>
            </c:ext>
          </c:extLst>
        </c:ser>
        <c:dLbls>
          <c:showLegendKey val="0"/>
          <c:showVal val="0"/>
          <c:showCatName val="0"/>
          <c:showSerName val="0"/>
          <c:showPercent val="0"/>
          <c:showBubbleSize val="0"/>
        </c:dLbls>
        <c:marker val="1"/>
        <c:smooth val="0"/>
        <c:axId val="331440432"/>
        <c:axId val="331440816"/>
      </c:lineChart>
      <c:catAx>
        <c:axId val="331440432"/>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ru-RU" sz="1200" b="0" i="0" baseline="0">
                    <a:effectLst/>
                  </a:rPr>
                  <a:t>Величина начального шага поиска </a:t>
                </a:r>
                <a:r>
                  <a:rPr lang="en-US" sz="1200" b="0" i="1" baseline="0">
                    <a:effectLst/>
                  </a:rPr>
                  <a:t>h</a:t>
                </a:r>
                <a:r>
                  <a:rPr lang="en-US" sz="1200" b="0" i="1" baseline="30000">
                    <a:effectLst/>
                  </a:rPr>
                  <a:t>0</a:t>
                </a:r>
                <a:r>
                  <a:rPr lang="en-US" sz="1200" b="0" i="0" baseline="0">
                    <a:effectLst/>
                  </a:rPr>
                  <a:t> </a:t>
                </a:r>
                <a:endParaRPr lang="en-US" sz="1200" b="0">
                  <a:effectLst/>
                </a:endParaRPr>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31440816"/>
        <c:crosses val="autoZero"/>
        <c:auto val="1"/>
        <c:lblAlgn val="ctr"/>
        <c:lblOffset val="100"/>
        <c:noMultiLvlLbl val="0"/>
      </c:catAx>
      <c:valAx>
        <c:axId val="331440816"/>
        <c:scaling>
          <c:orientation val="minMax"/>
          <c:max val="1390"/>
          <c:min val="38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ru-RU" sz="1200" b="0" i="0" baseline="0">
                    <a:effectLst/>
                  </a:rPr>
                  <a:t>Количество итераций </a:t>
                </a:r>
                <a:endParaRPr lang="en-US" sz="1200" b="0" baseline="0">
                  <a:effectLst/>
                </a:endParaRPr>
              </a:p>
            </c:rich>
          </c:tx>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31440432"/>
        <c:crosses val="autoZero"/>
        <c:crossBetween val="between"/>
        <c:majorUnit val="1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ru-RU" sz="1200" b="0" i="0" baseline="0">
                <a:effectLst/>
              </a:rPr>
              <a:t>Рисунок </a:t>
            </a:r>
            <a:r>
              <a:rPr lang="en-US" sz="1200" b="0" i="0" baseline="0">
                <a:effectLst/>
              </a:rPr>
              <a:t>6</a:t>
            </a:r>
            <a:r>
              <a:rPr lang="ru-RU" sz="1200" b="0" i="0" baseline="0">
                <a:effectLst/>
              </a:rPr>
              <a:t>.3 График зависимости Количества итераций от </a:t>
            </a:r>
            <a:endParaRPr lang="en-US" sz="1200" b="0" baseline="0">
              <a:effectLst/>
            </a:endParaRPr>
          </a:p>
          <a:p>
            <a:pPr>
              <a:defRPr sz="1200"/>
            </a:pPr>
            <a:r>
              <a:rPr lang="ru-RU" sz="1200" b="0" i="0" baseline="0">
                <a:effectLst/>
              </a:rPr>
              <a:t>Начальной цены</a:t>
            </a:r>
            <a:endParaRPr lang="en-US" sz="1200" b="0" baseline="0">
              <a:effectLst/>
            </a:endParaRP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sheet5!$J$63:$J$120</c:f>
              <c:numCache>
                <c:formatCode>#,##0</c:formatCode>
                <c:ptCount val="58"/>
                <c:pt idx="0">
                  <c:v>1.0000000200234354</c:v>
                </c:pt>
                <c:pt idx="1">
                  <c:v>2011211.98274209</c:v>
                </c:pt>
                <c:pt idx="2">
                  <c:v>4022422.96548416</c:v>
                </c:pt>
                <c:pt idx="3">
                  <c:v>6033633.9482262302</c:v>
                </c:pt>
                <c:pt idx="4">
                  <c:v>8044844.9309683004</c:v>
                </c:pt>
                <c:pt idx="5">
                  <c:v>10056055.913710371</c:v>
                </c:pt>
                <c:pt idx="6">
                  <c:v>12067266.89645244</c:v>
                </c:pt>
                <c:pt idx="7">
                  <c:v>14078477.879194509</c:v>
                </c:pt>
                <c:pt idx="8">
                  <c:v>16089688.861936579</c:v>
                </c:pt>
                <c:pt idx="9">
                  <c:v>18100899.844678648</c:v>
                </c:pt>
                <c:pt idx="10">
                  <c:v>20112110.827420719</c:v>
                </c:pt>
                <c:pt idx="11">
                  <c:v>22123321.81016279</c:v>
                </c:pt>
                <c:pt idx="12">
                  <c:v>24134532.792904861</c:v>
                </c:pt>
                <c:pt idx="13">
                  <c:v>26145743.775646932</c:v>
                </c:pt>
                <c:pt idx="14">
                  <c:v>28156954.758389004</c:v>
                </c:pt>
                <c:pt idx="15">
                  <c:v>30168165.741131075</c:v>
                </c:pt>
                <c:pt idx="16">
                  <c:v>32179376.723873146</c:v>
                </c:pt>
                <c:pt idx="17">
                  <c:v>34190587.706615217</c:v>
                </c:pt>
                <c:pt idx="18">
                  <c:v>36201798.689357288</c:v>
                </c:pt>
                <c:pt idx="19">
                  <c:v>38213009.672099359</c:v>
                </c:pt>
                <c:pt idx="20">
                  <c:v>40224220.65484143</c:v>
                </c:pt>
                <c:pt idx="21">
                  <c:v>42235431.637583502</c:v>
                </c:pt>
                <c:pt idx="22">
                  <c:v>44246642.620325573</c:v>
                </c:pt>
                <c:pt idx="23">
                  <c:v>46257853.603067644</c:v>
                </c:pt>
                <c:pt idx="24">
                  <c:v>48269064.585809715</c:v>
                </c:pt>
                <c:pt idx="25">
                  <c:v>50280275.568551786</c:v>
                </c:pt>
                <c:pt idx="26">
                  <c:v>52291486.551293857</c:v>
                </c:pt>
                <c:pt idx="27">
                  <c:v>54302697.534035929</c:v>
                </c:pt>
                <c:pt idx="28">
                  <c:v>56313908.516778</c:v>
                </c:pt>
                <c:pt idx="29">
                  <c:v>58325119.499520071</c:v>
                </c:pt>
                <c:pt idx="30">
                  <c:v>60336330.482262142</c:v>
                </c:pt>
                <c:pt idx="31">
                  <c:v>62347541.465004213</c:v>
                </c:pt>
                <c:pt idx="32">
                  <c:v>64358752.447746284</c:v>
                </c:pt>
                <c:pt idx="33">
                  <c:v>66369963.430488355</c:v>
                </c:pt>
                <c:pt idx="34">
                  <c:v>68381174.413230419</c:v>
                </c:pt>
                <c:pt idx="35">
                  <c:v>70392385.39597249</c:v>
                </c:pt>
                <c:pt idx="36">
                  <c:v>72403596.378714561</c:v>
                </c:pt>
                <c:pt idx="37">
                  <c:v>74414807.361456633</c:v>
                </c:pt>
                <c:pt idx="38">
                  <c:v>76426018.344198704</c:v>
                </c:pt>
                <c:pt idx="39">
                  <c:v>78437229.326940775</c:v>
                </c:pt>
                <c:pt idx="40">
                  <c:v>80448440.309682846</c:v>
                </c:pt>
                <c:pt idx="41">
                  <c:v>82459651.292424917</c:v>
                </c:pt>
                <c:pt idx="42">
                  <c:v>84470862.275166988</c:v>
                </c:pt>
                <c:pt idx="43">
                  <c:v>86482073.25790906</c:v>
                </c:pt>
                <c:pt idx="44">
                  <c:v>88493284.240651131</c:v>
                </c:pt>
                <c:pt idx="45">
                  <c:v>90504495.223393202</c:v>
                </c:pt>
                <c:pt idx="46">
                  <c:v>92515706.206135273</c:v>
                </c:pt>
                <c:pt idx="47">
                  <c:v>94526917.188877344</c:v>
                </c:pt>
                <c:pt idx="48">
                  <c:v>96538128.171619415</c:v>
                </c:pt>
                <c:pt idx="49">
                  <c:v>98549339.154361486</c:v>
                </c:pt>
                <c:pt idx="50">
                  <c:v>100560550.13710356</c:v>
                </c:pt>
                <c:pt idx="51">
                  <c:v>102571761.11984563</c:v>
                </c:pt>
                <c:pt idx="52">
                  <c:v>104582972.1025877</c:v>
                </c:pt>
                <c:pt idx="53">
                  <c:v>106594183.08532977</c:v>
                </c:pt>
                <c:pt idx="54">
                  <c:v>108605394.06807184</c:v>
                </c:pt>
                <c:pt idx="55">
                  <c:v>110616605.05081391</c:v>
                </c:pt>
                <c:pt idx="56">
                  <c:v>112627816.03355598</c:v>
                </c:pt>
                <c:pt idx="57">
                  <c:v>114639027.01629806</c:v>
                </c:pt>
              </c:numCache>
            </c:numRef>
          </c:cat>
          <c:val>
            <c:numRef>
              <c:f>sheet5!$G$63:$G$120</c:f>
              <c:numCache>
                <c:formatCode>0</c:formatCode>
                <c:ptCount val="58"/>
                <c:pt idx="0">
                  <c:v>1349</c:v>
                </c:pt>
                <c:pt idx="1">
                  <c:v>1304</c:v>
                </c:pt>
                <c:pt idx="2">
                  <c:v>1260</c:v>
                </c:pt>
                <c:pt idx="3">
                  <c:v>1192</c:v>
                </c:pt>
                <c:pt idx="4">
                  <c:v>1180</c:v>
                </c:pt>
                <c:pt idx="5">
                  <c:v>1136</c:v>
                </c:pt>
                <c:pt idx="6">
                  <c:v>1102</c:v>
                </c:pt>
                <c:pt idx="7">
                  <c:v>1057</c:v>
                </c:pt>
                <c:pt idx="8">
                  <c:v>1001</c:v>
                </c:pt>
                <c:pt idx="9">
                  <c:v>967</c:v>
                </c:pt>
                <c:pt idx="10">
                  <c:v>923</c:v>
                </c:pt>
                <c:pt idx="11">
                  <c:v>888</c:v>
                </c:pt>
                <c:pt idx="12">
                  <c:v>865</c:v>
                </c:pt>
                <c:pt idx="13">
                  <c:v>810</c:v>
                </c:pt>
                <c:pt idx="14">
                  <c:v>777</c:v>
                </c:pt>
                <c:pt idx="15">
                  <c:v>720</c:v>
                </c:pt>
                <c:pt idx="16">
                  <c:v>687</c:v>
                </c:pt>
                <c:pt idx="17">
                  <c:v>641</c:v>
                </c:pt>
                <c:pt idx="18">
                  <c:v>596</c:v>
                </c:pt>
                <c:pt idx="19">
                  <c:v>563</c:v>
                </c:pt>
                <c:pt idx="20">
                  <c:v>540</c:v>
                </c:pt>
                <c:pt idx="21">
                  <c:v>484</c:v>
                </c:pt>
                <c:pt idx="22">
                  <c:v>439</c:v>
                </c:pt>
                <c:pt idx="23">
                  <c:v>394</c:v>
                </c:pt>
                <c:pt idx="24">
                  <c:v>371</c:v>
                </c:pt>
                <c:pt idx="25">
                  <c:v>315</c:v>
                </c:pt>
                <c:pt idx="26">
                  <c:v>304</c:v>
                </c:pt>
                <c:pt idx="27">
                  <c:v>226</c:v>
                </c:pt>
                <c:pt idx="28">
                  <c:v>203</c:v>
                </c:pt>
                <c:pt idx="29">
                  <c:v>147</c:v>
                </c:pt>
                <c:pt idx="30">
                  <c:v>124</c:v>
                </c:pt>
                <c:pt idx="31">
                  <c:v>541</c:v>
                </c:pt>
                <c:pt idx="32">
                  <c:v>925</c:v>
                </c:pt>
                <c:pt idx="33">
                  <c:v>1354</c:v>
                </c:pt>
                <c:pt idx="34">
                  <c:v>1716</c:v>
                </c:pt>
                <c:pt idx="35">
                  <c:v>2145</c:v>
                </c:pt>
                <c:pt idx="36">
                  <c:v>2528</c:v>
                </c:pt>
                <c:pt idx="37">
                  <c:v>2956</c:v>
                </c:pt>
                <c:pt idx="38">
                  <c:v>3352</c:v>
                </c:pt>
                <c:pt idx="39">
                  <c:v>3746</c:v>
                </c:pt>
                <c:pt idx="40">
                  <c:v>4131</c:v>
                </c:pt>
                <c:pt idx="41">
                  <c:v>4548</c:v>
                </c:pt>
                <c:pt idx="42">
                  <c:v>4966</c:v>
                </c:pt>
                <c:pt idx="43">
                  <c:v>5360</c:v>
                </c:pt>
                <c:pt idx="44">
                  <c:v>5755</c:v>
                </c:pt>
                <c:pt idx="45">
                  <c:v>6161</c:v>
                </c:pt>
                <c:pt idx="46">
                  <c:v>6556</c:v>
                </c:pt>
                <c:pt idx="47">
                  <c:v>6963</c:v>
                </c:pt>
                <c:pt idx="48">
                  <c:v>7347</c:v>
                </c:pt>
                <c:pt idx="49">
                  <c:v>7765</c:v>
                </c:pt>
                <c:pt idx="50">
                  <c:v>8170</c:v>
                </c:pt>
                <c:pt idx="51">
                  <c:v>8576</c:v>
                </c:pt>
                <c:pt idx="52">
                  <c:v>8983</c:v>
                </c:pt>
                <c:pt idx="53">
                  <c:v>9366</c:v>
                </c:pt>
                <c:pt idx="54">
                  <c:v>9762</c:v>
                </c:pt>
                <c:pt idx="55">
                  <c:v>10179</c:v>
                </c:pt>
                <c:pt idx="56">
                  <c:v>10575</c:v>
                </c:pt>
                <c:pt idx="57">
                  <c:v>11002</c:v>
                </c:pt>
              </c:numCache>
            </c:numRef>
          </c:val>
          <c:smooth val="0"/>
          <c:extLst>
            <c:ext xmlns:c16="http://schemas.microsoft.com/office/drawing/2014/chart" uri="{C3380CC4-5D6E-409C-BE32-E72D297353CC}">
              <c16:uniqueId val="{00000000-077C-4BE5-A260-EA751378BAEB}"/>
            </c:ext>
          </c:extLst>
        </c:ser>
        <c:dLbls>
          <c:showLegendKey val="0"/>
          <c:showVal val="0"/>
          <c:showCatName val="0"/>
          <c:showSerName val="0"/>
          <c:showPercent val="0"/>
          <c:showBubbleSize val="0"/>
        </c:dLbls>
        <c:marker val="1"/>
        <c:smooth val="0"/>
        <c:axId val="331509664"/>
        <c:axId val="331510048"/>
      </c:lineChart>
      <c:catAx>
        <c:axId val="331509664"/>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ru-RU" sz="1200" b="0" i="0" baseline="0">
                    <a:effectLst/>
                  </a:rPr>
                  <a:t>Начальная цена</a:t>
                </a:r>
                <a:endParaRPr lang="en-US" sz="1200" b="0" baseline="0">
                  <a:effectLst/>
                </a:endParaRPr>
              </a:p>
            </c:rich>
          </c:tx>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31510048"/>
        <c:crosses val="autoZero"/>
        <c:auto val="1"/>
        <c:lblAlgn val="ctr"/>
        <c:lblOffset val="100"/>
        <c:noMultiLvlLbl val="0"/>
      </c:catAx>
      <c:valAx>
        <c:axId val="331510048"/>
        <c:scaling>
          <c:orientation val="minMax"/>
          <c:max val="114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ru-RU" sz="1200" b="0" i="0" baseline="0">
                    <a:effectLst/>
                  </a:rPr>
                  <a:t>Количество итераций</a:t>
                </a:r>
                <a:endParaRPr lang="en-US" sz="1200" b="0" baseline="0"/>
              </a:p>
            </c:rich>
          </c:tx>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31509664"/>
        <c:crosses val="autoZero"/>
        <c:crossBetween val="between"/>
        <c:majorUnit val="500"/>
        <c:minorUnit val="1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spc="0" baseline="0">
                <a:solidFill>
                  <a:sysClr val="windowText" lastClr="000000">
                    <a:lumMod val="65000"/>
                    <a:lumOff val="35000"/>
                  </a:sysClr>
                </a:solidFill>
                <a:latin typeface="+mn-lt"/>
                <a:ea typeface="+mn-ea"/>
                <a:cs typeface="+mn-cs"/>
              </a:defRPr>
            </a:pPr>
            <a:r>
              <a:rPr lang="ru-RU" sz="1200" b="0" i="0" baseline="0">
                <a:effectLst/>
              </a:rPr>
              <a:t>Рисунок </a:t>
            </a:r>
            <a:r>
              <a:rPr lang="en-US" sz="1200" b="0" i="0" baseline="0">
                <a:effectLst/>
              </a:rPr>
              <a:t>6</a:t>
            </a:r>
            <a:r>
              <a:rPr lang="ru-RU" sz="1200" b="0" i="0" baseline="0">
                <a:effectLst/>
              </a:rPr>
              <a:t>.4 График зависимости Количества итераций от </a:t>
            </a:r>
          </a:p>
          <a:p>
            <a:pPr marL="0" marR="0" lvl="0" indent="0" algn="ctr" defTabSz="914400" rtl="0" eaLnBrk="1" fontAlgn="auto" latinLnBrk="0" hangingPunct="1">
              <a:lnSpc>
                <a:spcPct val="100000"/>
              </a:lnSpc>
              <a:spcBef>
                <a:spcPts val="0"/>
              </a:spcBef>
              <a:spcAft>
                <a:spcPts val="0"/>
              </a:spcAft>
              <a:buClrTx/>
              <a:buSzTx/>
              <a:buFontTx/>
              <a:buNone/>
              <a:tabLst/>
              <a:defRPr sz="1200">
                <a:solidFill>
                  <a:sysClr val="windowText" lastClr="000000">
                    <a:lumMod val="65000"/>
                    <a:lumOff val="35000"/>
                  </a:sysClr>
                </a:solidFill>
              </a:defRPr>
            </a:pPr>
            <a:r>
              <a:rPr lang="ru-RU" sz="1200" b="0" i="0" baseline="0">
                <a:effectLst/>
              </a:rPr>
              <a:t>Параметра </a:t>
            </a:r>
            <a:r>
              <a:rPr lang="en-US" sz="1200" b="0" i="0" baseline="0">
                <a:effectLst/>
              </a:rPr>
              <a:t>R</a:t>
            </a:r>
            <a:endParaRPr lang="en-US" sz="1200" b="0" baseline="0"/>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sheet5!$L$124:$L$182</c:f>
              <c:numCache>
                <c:formatCode>General</c:formatCode>
                <c:ptCount val="59"/>
                <c:pt idx="0">
                  <c:v>1.2</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13</c:v>
                </c:pt>
                <c:pt idx="25">
                  <c:v>13.5</c:v>
                </c:pt>
                <c:pt idx="26">
                  <c:v>14</c:v>
                </c:pt>
                <c:pt idx="27">
                  <c:v>14.5</c:v>
                </c:pt>
                <c:pt idx="28">
                  <c:v>15</c:v>
                </c:pt>
                <c:pt idx="29">
                  <c:v>15.5</c:v>
                </c:pt>
                <c:pt idx="30">
                  <c:v>16</c:v>
                </c:pt>
                <c:pt idx="31">
                  <c:v>16.5</c:v>
                </c:pt>
                <c:pt idx="32">
                  <c:v>17</c:v>
                </c:pt>
                <c:pt idx="33">
                  <c:v>17.5</c:v>
                </c:pt>
                <c:pt idx="34">
                  <c:v>18</c:v>
                </c:pt>
                <c:pt idx="35">
                  <c:v>18.5</c:v>
                </c:pt>
                <c:pt idx="36">
                  <c:v>19</c:v>
                </c:pt>
                <c:pt idx="37">
                  <c:v>19.5</c:v>
                </c:pt>
                <c:pt idx="38">
                  <c:v>20</c:v>
                </c:pt>
                <c:pt idx="39">
                  <c:v>20.5</c:v>
                </c:pt>
                <c:pt idx="40">
                  <c:v>21</c:v>
                </c:pt>
                <c:pt idx="41">
                  <c:v>21.5</c:v>
                </c:pt>
                <c:pt idx="42">
                  <c:v>22</c:v>
                </c:pt>
                <c:pt idx="43">
                  <c:v>22.5</c:v>
                </c:pt>
                <c:pt idx="44">
                  <c:v>23</c:v>
                </c:pt>
                <c:pt idx="45">
                  <c:v>23.5</c:v>
                </c:pt>
                <c:pt idx="46">
                  <c:v>24</c:v>
                </c:pt>
                <c:pt idx="47">
                  <c:v>24.5</c:v>
                </c:pt>
                <c:pt idx="48">
                  <c:v>25</c:v>
                </c:pt>
                <c:pt idx="49">
                  <c:v>25.5</c:v>
                </c:pt>
                <c:pt idx="50">
                  <c:v>26</c:v>
                </c:pt>
                <c:pt idx="51">
                  <c:v>26.5</c:v>
                </c:pt>
                <c:pt idx="52">
                  <c:v>27</c:v>
                </c:pt>
                <c:pt idx="53">
                  <c:v>27.5</c:v>
                </c:pt>
                <c:pt idx="54">
                  <c:v>28</c:v>
                </c:pt>
                <c:pt idx="55">
                  <c:v>28.5</c:v>
                </c:pt>
                <c:pt idx="56">
                  <c:v>29</c:v>
                </c:pt>
                <c:pt idx="57">
                  <c:v>29.5</c:v>
                </c:pt>
                <c:pt idx="58">
                  <c:v>30</c:v>
                </c:pt>
              </c:numCache>
            </c:numRef>
          </c:cat>
          <c:val>
            <c:numRef>
              <c:f>sheet5!$G$124:$G$182</c:f>
              <c:numCache>
                <c:formatCode>0</c:formatCode>
                <c:ptCount val="59"/>
                <c:pt idx="0">
                  <c:v>1646</c:v>
                </c:pt>
                <c:pt idx="1">
                  <c:v>1377</c:v>
                </c:pt>
                <c:pt idx="2">
                  <c:v>1334</c:v>
                </c:pt>
                <c:pt idx="3">
                  <c:v>1314</c:v>
                </c:pt>
                <c:pt idx="4">
                  <c:v>1315</c:v>
                </c:pt>
                <c:pt idx="5">
                  <c:v>1289</c:v>
                </c:pt>
                <c:pt idx="6">
                  <c:v>1304</c:v>
                </c:pt>
                <c:pt idx="7">
                  <c:v>1304</c:v>
                </c:pt>
                <c:pt idx="8">
                  <c:v>1304</c:v>
                </c:pt>
                <c:pt idx="9">
                  <c:v>1304</c:v>
                </c:pt>
                <c:pt idx="10">
                  <c:v>1308</c:v>
                </c:pt>
                <c:pt idx="11">
                  <c:v>1329</c:v>
                </c:pt>
                <c:pt idx="12">
                  <c:v>1327</c:v>
                </c:pt>
                <c:pt idx="13">
                  <c:v>1329</c:v>
                </c:pt>
                <c:pt idx="14">
                  <c:v>1320</c:v>
                </c:pt>
                <c:pt idx="15">
                  <c:v>1337</c:v>
                </c:pt>
                <c:pt idx="16">
                  <c:v>1321</c:v>
                </c:pt>
                <c:pt idx="17">
                  <c:v>1345</c:v>
                </c:pt>
                <c:pt idx="18">
                  <c:v>1349</c:v>
                </c:pt>
                <c:pt idx="19">
                  <c:v>1348</c:v>
                </c:pt>
                <c:pt idx="20">
                  <c:v>1338</c:v>
                </c:pt>
                <c:pt idx="21">
                  <c:v>1340</c:v>
                </c:pt>
                <c:pt idx="22">
                  <c:v>1344</c:v>
                </c:pt>
                <c:pt idx="23">
                  <c:v>1362</c:v>
                </c:pt>
                <c:pt idx="24">
                  <c:v>1353</c:v>
                </c:pt>
                <c:pt idx="25">
                  <c:v>1353</c:v>
                </c:pt>
                <c:pt idx="26">
                  <c:v>1369</c:v>
                </c:pt>
                <c:pt idx="27">
                  <c:v>1340</c:v>
                </c:pt>
                <c:pt idx="28">
                  <c:v>1352</c:v>
                </c:pt>
                <c:pt idx="29">
                  <c:v>1361</c:v>
                </c:pt>
                <c:pt idx="30">
                  <c:v>1365</c:v>
                </c:pt>
                <c:pt idx="31">
                  <c:v>1359</c:v>
                </c:pt>
                <c:pt idx="32">
                  <c:v>1373</c:v>
                </c:pt>
                <c:pt idx="33">
                  <c:v>1386</c:v>
                </c:pt>
                <c:pt idx="34">
                  <c:v>1362</c:v>
                </c:pt>
                <c:pt idx="35">
                  <c:v>1392</c:v>
                </c:pt>
                <c:pt idx="36">
                  <c:v>1356</c:v>
                </c:pt>
                <c:pt idx="37">
                  <c:v>1411</c:v>
                </c:pt>
                <c:pt idx="38">
                  <c:v>1357</c:v>
                </c:pt>
                <c:pt idx="39">
                  <c:v>1373</c:v>
                </c:pt>
                <c:pt idx="40">
                  <c:v>1392</c:v>
                </c:pt>
                <c:pt idx="41">
                  <c:v>1382</c:v>
                </c:pt>
                <c:pt idx="42">
                  <c:v>1387</c:v>
                </c:pt>
                <c:pt idx="43">
                  <c:v>1409</c:v>
                </c:pt>
                <c:pt idx="44">
                  <c:v>1407</c:v>
                </c:pt>
                <c:pt idx="45">
                  <c:v>1412</c:v>
                </c:pt>
                <c:pt idx="46">
                  <c:v>1460</c:v>
                </c:pt>
                <c:pt idx="47">
                  <c:v>1407</c:v>
                </c:pt>
                <c:pt idx="48">
                  <c:v>1412</c:v>
                </c:pt>
                <c:pt idx="49">
                  <c:v>1422</c:v>
                </c:pt>
                <c:pt idx="50">
                  <c:v>1415</c:v>
                </c:pt>
                <c:pt idx="51">
                  <c:v>1447</c:v>
                </c:pt>
                <c:pt idx="52">
                  <c:v>1457</c:v>
                </c:pt>
                <c:pt idx="53">
                  <c:v>1416</c:v>
                </c:pt>
                <c:pt idx="54">
                  <c:v>1457</c:v>
                </c:pt>
                <c:pt idx="55">
                  <c:v>1421</c:v>
                </c:pt>
                <c:pt idx="56">
                  <c:v>1441</c:v>
                </c:pt>
                <c:pt idx="57">
                  <c:v>1430</c:v>
                </c:pt>
                <c:pt idx="58">
                  <c:v>1442</c:v>
                </c:pt>
              </c:numCache>
            </c:numRef>
          </c:val>
          <c:smooth val="0"/>
          <c:extLst>
            <c:ext xmlns:c16="http://schemas.microsoft.com/office/drawing/2014/chart" uri="{C3380CC4-5D6E-409C-BE32-E72D297353CC}">
              <c16:uniqueId val="{00000000-499D-4F20-9E94-7EA7ED86F05F}"/>
            </c:ext>
          </c:extLst>
        </c:ser>
        <c:dLbls>
          <c:showLegendKey val="0"/>
          <c:showVal val="0"/>
          <c:showCatName val="0"/>
          <c:showSerName val="0"/>
          <c:showPercent val="0"/>
          <c:showBubbleSize val="0"/>
        </c:dLbls>
        <c:marker val="1"/>
        <c:smooth val="0"/>
        <c:axId val="331643992"/>
        <c:axId val="331644376"/>
      </c:lineChart>
      <c:catAx>
        <c:axId val="331643992"/>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ru-RU" sz="1200" b="0" i="0" baseline="0">
                    <a:effectLst/>
                  </a:rPr>
                  <a:t>Параметр </a:t>
                </a:r>
                <a:r>
                  <a:rPr lang="en-US" sz="1200" b="0" i="0" baseline="0">
                    <a:effectLst/>
                  </a:rPr>
                  <a:t>R</a:t>
                </a:r>
                <a:endParaRPr lang="en-US" sz="1200" b="0" baseline="0">
                  <a:effectLst/>
                </a:endParaRPr>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44376"/>
        <c:crosses val="autoZero"/>
        <c:auto val="1"/>
        <c:lblAlgn val="ctr"/>
        <c:lblOffset val="100"/>
        <c:noMultiLvlLbl val="0"/>
      </c:catAx>
      <c:valAx>
        <c:axId val="331644376"/>
        <c:scaling>
          <c:orientation val="minMax"/>
          <c:max val="1670"/>
          <c:min val="127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ru-RU" sz="1200" b="0" i="0" baseline="0">
                    <a:effectLst/>
                  </a:rPr>
                  <a:t>Количество итераций </a:t>
                </a:r>
                <a:endParaRPr lang="en-US" sz="1200" b="0" baseline="0">
                  <a:effectLst/>
                </a:endParaRPr>
              </a:p>
            </c:rich>
          </c:tx>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43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21" val="0"/>
</file>

<file path=xl/ctrlProps/ctrlProp2.xml><?xml version="1.0" encoding="utf-8"?>
<formControlPr xmlns="http://schemas.microsoft.com/office/spreadsheetml/2009/9/main" objectType="List" dx="16" fmlaLink="$K$4" fmlaRange="$S$4:$S$6"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1" dropStyle="combo" dx="16" fmlaLink="$N$5" fmlaRange="sheet5!$I$12:$I$22" sel="11" val="0"/>
</file>

<file path=xl/ctrlProps/ctrlProp5.xml><?xml version="1.0" encoding="utf-8"?>
<formControlPr xmlns="http://schemas.microsoft.com/office/spreadsheetml/2009/9/main" objectType="Drop" dropLines="23" dropStyle="combo" dx="16" fmlaLink="$O$5" fmlaRange="sheet5!$J$63:$J$120" sel="1" val="0"/>
</file>

<file path=xl/ctrlProps/ctrlProp6.xml><?xml version="1.0" encoding="utf-8"?>
<formControlPr xmlns="http://schemas.microsoft.com/office/spreadsheetml/2009/9/main" objectType="Drop" dropLines="33" dropStyle="combo" dx="16" fmlaLink="$Q$5" fmlaRange="sheet5!$L$124:$L$182" sel="19" val="3"/>
</file>

<file path=xl/ctrlProps/ctrlProp7.xml><?xml version="1.0" encoding="utf-8"?>
<formControlPr xmlns="http://schemas.microsoft.com/office/spreadsheetml/2009/9/main" objectType="List" dx="16" fmlaLink="I5" fmlaRange="$H$4:$H$5" sel="2" val="0"/>
</file>

<file path=xl/ctrlProps/ctrlProp8.xml><?xml version="1.0" encoding="utf-8"?>
<formControlPr xmlns="http://schemas.microsoft.com/office/spreadsheetml/2009/9/main" objectType="Drop" dropLines="34" dropStyle="combo" dx="16" fmlaLink="$P$5" fmlaRange="sheet5!$H$26:$H$59" sel="27"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14</xdr:col>
      <xdr:colOff>47625</xdr:colOff>
      <xdr:row>5</xdr:row>
      <xdr:rowOff>76200</xdr:rowOff>
    </xdr:from>
    <xdr:to>
      <xdr:col>22</xdr:col>
      <xdr:colOff>85725</xdr:colOff>
      <xdr:row>30</xdr:row>
      <xdr:rowOff>47625</xdr:rowOff>
    </xdr:to>
    <xdr:graphicFrame macro="">
      <xdr:nvGraphicFramePr>
        <xdr:cNvPr id="614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47625</xdr:colOff>
      <xdr:row>5</xdr:row>
      <xdr:rowOff>76200</xdr:rowOff>
    </xdr:from>
    <xdr:to>
      <xdr:col>22</xdr:col>
      <xdr:colOff>85725</xdr:colOff>
      <xdr:row>30</xdr:row>
      <xdr:rowOff>47625</xdr:rowOff>
    </xdr:to>
    <xdr:graphicFrame macro="">
      <xdr:nvGraphicFramePr>
        <xdr:cNvPr id="512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9525</xdr:rowOff>
        </xdr:from>
        <xdr:to>
          <xdr:col>5</xdr:col>
          <xdr:colOff>9525</xdr:colOff>
          <xdr:row>23</xdr:row>
          <xdr:rowOff>57150</xdr:rowOff>
        </xdr:to>
        <xdr:sp macro="" textlink="">
          <xdr:nvSpPr>
            <xdr:cNvPr id="4097" name="List Box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114300</xdr:rowOff>
        </xdr:from>
        <xdr:to>
          <xdr:col>17</xdr:col>
          <xdr:colOff>514350</xdr:colOff>
          <xdr:row>5</xdr:row>
          <xdr:rowOff>304800</xdr:rowOff>
        </xdr:to>
        <xdr:sp macro="" textlink="">
          <xdr:nvSpPr>
            <xdr:cNvPr id="4103" name="List Box 7"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485775</xdr:colOff>
          <xdr:row>5</xdr:row>
          <xdr:rowOff>371475</xdr:rowOff>
        </xdr:from>
        <xdr:to>
          <xdr:col>16</xdr:col>
          <xdr:colOff>0</xdr:colOff>
          <xdr:row>7</xdr:row>
          <xdr:rowOff>123825</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Cyr"/>
                  <a:cs typeface="Arial Cyr"/>
                </a:rPr>
                <a:t>"Automatic Scanning the List of Sigma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3</xdr:row>
          <xdr:rowOff>333375</xdr:rowOff>
        </xdr:from>
        <xdr:to>
          <xdr:col>10</xdr:col>
          <xdr:colOff>0</xdr:colOff>
          <xdr:row>5</xdr:row>
          <xdr:rowOff>9525</xdr:rowOff>
        </xdr:to>
        <xdr:sp macro="" textlink="">
          <xdr:nvSpPr>
            <xdr:cNvPr id="1027" name="Drop Down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381000</xdr:colOff>
          <xdr:row>2</xdr:row>
          <xdr:rowOff>161925</xdr:rowOff>
        </xdr:from>
        <xdr:to>
          <xdr:col>8</xdr:col>
          <xdr:colOff>685800</xdr:colOff>
          <xdr:row>5</xdr:row>
          <xdr:rowOff>0</xdr:rowOff>
        </xdr:to>
        <xdr:sp macro="" textlink="">
          <xdr:nvSpPr>
            <xdr:cNvPr id="1148" name="List Box 124" hidden="1">
              <a:extLst>
                <a:ext uri="{63B3BB69-23CF-44E3-9099-C40C66FF867C}">
                  <a14:compatExt spid="_x0000_s1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4</xdr:row>
          <xdr:rowOff>0</xdr:rowOff>
        </xdr:from>
        <xdr:to>
          <xdr:col>11</xdr:col>
          <xdr:colOff>38100</xdr:colOff>
          <xdr:row>5</xdr:row>
          <xdr:rowOff>0</xdr:rowOff>
        </xdr:to>
        <xdr:sp macro="" textlink="">
          <xdr:nvSpPr>
            <xdr:cNvPr id="1185" name="Drop Down 161" hidden="1">
              <a:extLst>
                <a:ext uri="{63B3BB69-23CF-44E3-9099-C40C66FF867C}">
                  <a14:compatExt spid="_x0000_s1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0</xdr:rowOff>
        </xdr:from>
        <xdr:to>
          <xdr:col>12</xdr:col>
          <xdr:colOff>0</xdr:colOff>
          <xdr:row>5</xdr:row>
          <xdr:rowOff>9525</xdr:rowOff>
        </xdr:to>
        <xdr:sp macro="" textlink="">
          <xdr:nvSpPr>
            <xdr:cNvPr id="1186" name="Drop Down 162"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xdr:row>
          <xdr:rowOff>333375</xdr:rowOff>
        </xdr:from>
        <xdr:to>
          <xdr:col>12</xdr:col>
          <xdr:colOff>752475</xdr:colOff>
          <xdr:row>5</xdr:row>
          <xdr:rowOff>9525</xdr:rowOff>
        </xdr:to>
        <xdr:sp macro="" textlink="">
          <xdr:nvSpPr>
            <xdr:cNvPr id="1187" name="Drop Down 163" hidden="1">
              <a:extLst>
                <a:ext uri="{63B3BB69-23CF-44E3-9099-C40C66FF867C}">
                  <a14:compatExt spid="_x0000_s1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13</xdr:col>
      <xdr:colOff>0</xdr:colOff>
      <xdr:row>10</xdr:row>
      <xdr:rowOff>1</xdr:rowOff>
    </xdr:from>
    <xdr:to>
      <xdr:col>22</xdr:col>
      <xdr:colOff>142875</xdr:colOff>
      <xdr:row>24</xdr:row>
      <xdr:rowOff>57151</xdr:rowOff>
    </xdr:to>
    <xdr:graphicFrame macro="">
      <xdr:nvGraphicFramePr>
        <xdr:cNvPr id="2" name="Chart 5">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24</xdr:row>
      <xdr:rowOff>657224</xdr:rowOff>
    </xdr:from>
    <xdr:to>
      <xdr:col>23</xdr:col>
      <xdr:colOff>304800</xdr:colOff>
      <xdr:row>51</xdr:row>
      <xdr:rowOff>142874</xdr:rowOff>
    </xdr:to>
    <xdr:graphicFrame macro="">
      <xdr:nvGraphicFramePr>
        <xdr:cNvPr id="3" name="Chart 1">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61</xdr:row>
      <xdr:rowOff>0</xdr:rowOff>
    </xdr:from>
    <xdr:to>
      <xdr:col>25</xdr:col>
      <xdr:colOff>89647</xdr:colOff>
      <xdr:row>89</xdr:row>
      <xdr:rowOff>150159</xdr:rowOff>
    </xdr:to>
    <xdr:graphicFrame macro="">
      <xdr:nvGraphicFramePr>
        <xdr:cNvPr id="4" name="Chart 6">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122</xdr:row>
      <xdr:rowOff>0</xdr:rowOff>
    </xdr:from>
    <xdr:to>
      <xdr:col>22</xdr:col>
      <xdr:colOff>413684</xdr:colOff>
      <xdr:row>148</xdr:row>
      <xdr:rowOff>114860</xdr:rowOff>
    </xdr:to>
    <xdr:graphicFrame macro="">
      <xdr:nvGraphicFramePr>
        <xdr:cNvPr id="5" name="Chart 7">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9"/>
  <sheetViews>
    <sheetView zoomScale="145" zoomScaleNormal="145" workbookViewId="0">
      <selection activeCell="H15" sqref="H14:H15"/>
    </sheetView>
  </sheetViews>
  <sheetFormatPr defaultRowHeight="12.75" x14ac:dyDescent="0.2"/>
  <cols>
    <col min="1" max="1" width="4.42578125" customWidth="1"/>
    <col min="2" max="2" width="10" customWidth="1"/>
    <col min="3" max="3" width="9.28515625" customWidth="1"/>
    <col min="4" max="4" width="7.140625" customWidth="1"/>
    <col min="5" max="5" width="9.85546875" customWidth="1"/>
    <col min="6" max="6" width="8" bestFit="1" customWidth="1"/>
    <col min="7" max="7" width="21.5703125" customWidth="1"/>
    <col min="8" max="8" width="36.7109375" customWidth="1"/>
    <col min="9" max="9" width="14.85546875" customWidth="1"/>
    <col min="10" max="10" width="14.28515625" customWidth="1"/>
    <col min="11" max="11" width="9.5703125" customWidth="1"/>
  </cols>
  <sheetData>
    <row r="1" spans="1:11" ht="24" customHeight="1" x14ac:dyDescent="0.3">
      <c r="A1" s="162" t="s">
        <v>85</v>
      </c>
    </row>
    <row r="2" spans="1:11" ht="13.5" thickBot="1" x14ac:dyDescent="0.25">
      <c r="A2" t="s">
        <v>86</v>
      </c>
    </row>
    <row r="3" spans="1:11" x14ac:dyDescent="0.2">
      <c r="A3" s="12" t="s">
        <v>0</v>
      </c>
      <c r="B3" s="64" t="s">
        <v>12</v>
      </c>
      <c r="C3" s="64" t="s">
        <v>13</v>
      </c>
      <c r="D3" s="64" t="s">
        <v>14</v>
      </c>
      <c r="E3" s="64" t="s">
        <v>15</v>
      </c>
      <c r="F3" s="64" t="s">
        <v>16</v>
      </c>
      <c r="G3" s="64" t="s">
        <v>53</v>
      </c>
      <c r="H3" s="64" t="s">
        <v>87</v>
      </c>
      <c r="I3" s="64" t="s">
        <v>17</v>
      </c>
      <c r="J3" s="64" t="s">
        <v>18</v>
      </c>
      <c r="K3" s="65" t="s">
        <v>3</v>
      </c>
    </row>
    <row r="4" spans="1:11" x14ac:dyDescent="0.2">
      <c r="A4" s="126">
        <v>0</v>
      </c>
      <c r="B4" s="127">
        <v>1E+20</v>
      </c>
      <c r="C4" s="126">
        <v>0</v>
      </c>
      <c r="D4" s="126">
        <v>400</v>
      </c>
      <c r="E4" s="126">
        <v>1.1100000000000001</v>
      </c>
      <c r="F4" s="128">
        <v>1.0000000000000001E-5</v>
      </c>
      <c r="G4" s="127">
        <v>400000</v>
      </c>
      <c r="H4" s="129" t="s">
        <v>19</v>
      </c>
      <c r="I4" s="130">
        <f>2*E4*D4/(2*E4-1)</f>
        <v>727.86885245901635</v>
      </c>
      <c r="J4" s="131">
        <f t="shared" ref="J4:J29" si="0">(K4*D4/G4)^(1/(2*E4))</f>
        <v>45462954.695323914</v>
      </c>
      <c r="K4" s="132">
        <f>B4/((1+C4)^(2*E4))</f>
        <v>1E+20</v>
      </c>
    </row>
    <row r="5" spans="1:11" ht="15.75" x14ac:dyDescent="0.2">
      <c r="A5" s="1">
        <v>1</v>
      </c>
      <c r="B5" s="2">
        <v>2.15E+27</v>
      </c>
      <c r="C5" s="1">
        <v>0.64600000000000002</v>
      </c>
      <c r="D5" s="1">
        <v>4010</v>
      </c>
      <c r="E5" s="1">
        <v>1.5773999999999999</v>
      </c>
      <c r="F5" s="1">
        <v>1.0000000000000001E-5</v>
      </c>
      <c r="G5" s="157">
        <v>100660</v>
      </c>
      <c r="H5" s="158"/>
      <c r="I5" s="154">
        <f t="shared" ref="I5:I29" si="1">2*E5*D5/(2*E5-1)</f>
        <v>5870.9615741600155</v>
      </c>
      <c r="J5" s="155">
        <f t="shared" si="0"/>
        <v>100845314.18208234</v>
      </c>
      <c r="K5" s="133">
        <f t="shared" ref="K5:K29" si="2">B5/((1+C5)^(2*E5))</f>
        <v>4.4631926115835348E+26</v>
      </c>
    </row>
    <row r="6" spans="1:11" ht="15.75" x14ac:dyDescent="0.2">
      <c r="A6" s="1">
        <v>2</v>
      </c>
      <c r="B6" s="2">
        <v>2.1999999999999999E+27</v>
      </c>
      <c r="C6" s="1">
        <v>0.65800000000000003</v>
      </c>
      <c r="D6" s="1">
        <v>4030</v>
      </c>
      <c r="E6" s="1">
        <v>1.5885</v>
      </c>
      <c r="F6" s="1">
        <v>1.0000000000000001E-5</v>
      </c>
      <c r="G6" s="157">
        <v>100680</v>
      </c>
      <c r="H6" s="158"/>
      <c r="I6" s="154">
        <f t="shared" si="1"/>
        <v>5881.1713367018829</v>
      </c>
      <c r="J6" s="155">
        <f t="shared" si="0"/>
        <v>88482408.224901095</v>
      </c>
      <c r="K6" s="133">
        <f t="shared" si="2"/>
        <v>4.413698275215181E+26</v>
      </c>
    </row>
    <row r="7" spans="1:11" ht="15.75" x14ac:dyDescent="0.2">
      <c r="A7" s="1">
        <v>3</v>
      </c>
      <c r="B7" s="2">
        <v>2.25E+27</v>
      </c>
      <c r="C7" s="1">
        <v>0.67</v>
      </c>
      <c r="D7" s="1">
        <v>4050</v>
      </c>
      <c r="E7" s="1">
        <v>1.5995999999999999</v>
      </c>
      <c r="F7" s="1">
        <v>1.0000000000000001E-5</v>
      </c>
      <c r="G7" s="157">
        <v>100700</v>
      </c>
      <c r="H7" s="158"/>
      <c r="I7" s="154">
        <f t="shared" si="1"/>
        <v>5891.5787559112405</v>
      </c>
      <c r="J7" s="155">
        <f t="shared" si="0"/>
        <v>77759224.031910762</v>
      </c>
      <c r="K7" s="133">
        <f t="shared" si="2"/>
        <v>4.3618224517201811E+26</v>
      </c>
    </row>
    <row r="8" spans="1:11" ht="15.75" x14ac:dyDescent="0.2">
      <c r="A8" s="1">
        <v>4</v>
      </c>
      <c r="B8" s="2">
        <v>2.3000000000000001E+27</v>
      </c>
      <c r="C8" s="1">
        <v>0.68200000000000005</v>
      </c>
      <c r="D8" s="1">
        <v>4070</v>
      </c>
      <c r="E8" s="1">
        <v>1.6107</v>
      </c>
      <c r="F8" s="1">
        <v>1.0000000000000001E-5</v>
      </c>
      <c r="G8" s="157">
        <v>100720</v>
      </c>
      <c r="H8" s="158"/>
      <c r="I8" s="154">
        <f t="shared" si="1"/>
        <v>5902.177905825155</v>
      </c>
      <c r="J8" s="155">
        <f t="shared" si="0"/>
        <v>68443084.067604974</v>
      </c>
      <c r="K8" s="133">
        <f t="shared" si="2"/>
        <v>4.3077648389684763E+26</v>
      </c>
    </row>
    <row r="9" spans="1:11" ht="15.75" x14ac:dyDescent="0.2">
      <c r="A9" s="163">
        <v>5</v>
      </c>
      <c r="B9" s="164">
        <v>2.3499999999999999E+27</v>
      </c>
      <c r="C9" s="163">
        <v>0.69399999999999995</v>
      </c>
      <c r="D9" s="163">
        <v>4090</v>
      </c>
      <c r="E9" s="163">
        <v>1.6217999999999999</v>
      </c>
      <c r="F9" s="163">
        <v>1.0000000000000001E-5</v>
      </c>
      <c r="G9" s="165">
        <v>100740</v>
      </c>
      <c r="H9" s="166" t="s">
        <v>88</v>
      </c>
      <c r="I9" s="167">
        <f t="shared" si="1"/>
        <v>5912.9630950258515</v>
      </c>
      <c r="J9" s="168">
        <f t="shared" si="0"/>
        <v>60336330.482262142</v>
      </c>
      <c r="K9" s="169">
        <f t="shared" si="2"/>
        <v>4.251716892298195E+26</v>
      </c>
    </row>
    <row r="10" spans="1:11" ht="15" x14ac:dyDescent="0.2">
      <c r="A10" s="1">
        <v>6</v>
      </c>
      <c r="B10" s="2">
        <v>2.4E+27</v>
      </c>
      <c r="C10" s="1">
        <v>0.70599999999999996</v>
      </c>
      <c r="D10" s="1">
        <v>4110</v>
      </c>
      <c r="E10" s="1">
        <v>1.6329</v>
      </c>
      <c r="F10" s="1">
        <v>1.0000000000000001E-5</v>
      </c>
      <c r="G10" s="157">
        <v>100760</v>
      </c>
      <c r="H10" s="159"/>
      <c r="I10" s="154">
        <f t="shared" si="1"/>
        <v>5923.9288551504987</v>
      </c>
      <c r="J10" s="155">
        <f t="shared" si="0"/>
        <v>53270774.003755324</v>
      </c>
      <c r="K10" s="133">
        <f t="shared" si="2"/>
        <v>4.1938620007851879E+26</v>
      </c>
    </row>
    <row r="11" spans="1:11" ht="15" x14ac:dyDescent="0.2">
      <c r="A11" s="1">
        <v>7</v>
      </c>
      <c r="B11" s="2">
        <v>2.4500000000000001E+27</v>
      </c>
      <c r="C11" s="1">
        <v>0.71799999999999997</v>
      </c>
      <c r="D11" s="1">
        <v>4130</v>
      </c>
      <c r="E11" s="1">
        <v>1.6439999999999999</v>
      </c>
      <c r="F11" s="1">
        <v>1.0000000000000001E-5</v>
      </c>
      <c r="G11" s="157">
        <v>100780</v>
      </c>
      <c r="H11" s="159"/>
      <c r="I11" s="154">
        <f t="shared" si="1"/>
        <v>5935.0699300699298</v>
      </c>
      <c r="J11" s="155">
        <f t="shared" si="0"/>
        <v>47103064.024795786</v>
      </c>
      <c r="K11" s="133">
        <f t="shared" si="2"/>
        <v>4.1343756671121893E+26</v>
      </c>
    </row>
    <row r="12" spans="1:11" ht="15" x14ac:dyDescent="0.2">
      <c r="A12" s="1">
        <v>8</v>
      </c>
      <c r="B12" s="2">
        <v>2.4999999999999999E+27</v>
      </c>
      <c r="C12" s="1">
        <v>0.73</v>
      </c>
      <c r="D12" s="1">
        <v>4150</v>
      </c>
      <c r="E12" s="1">
        <v>1.6551</v>
      </c>
      <c r="F12" s="1">
        <v>1.0000000000000001E-5</v>
      </c>
      <c r="G12" s="157">
        <v>100800</v>
      </c>
      <c r="H12" s="159"/>
      <c r="I12" s="154">
        <f t="shared" si="1"/>
        <v>5946.3812656912824</v>
      </c>
      <c r="J12" s="155">
        <f t="shared" si="0"/>
        <v>41710820.69464469</v>
      </c>
      <c r="K12" s="133">
        <f t="shared" si="2"/>
        <v>4.0734256904686249E+26</v>
      </c>
    </row>
    <row r="13" spans="1:11" ht="15" x14ac:dyDescent="0.2">
      <c r="A13" s="1">
        <v>9</v>
      </c>
      <c r="B13" s="2">
        <v>2.55E+27</v>
      </c>
      <c r="C13" s="1">
        <v>0.74199999999999999</v>
      </c>
      <c r="D13" s="1">
        <v>4170</v>
      </c>
      <c r="E13" s="1">
        <v>1.6661999999999999</v>
      </c>
      <c r="F13" s="1">
        <v>1.0000000000000001E-5</v>
      </c>
      <c r="G13" s="157">
        <v>100820</v>
      </c>
      <c r="H13" s="159"/>
      <c r="I13" s="154">
        <f t="shared" si="1"/>
        <v>5957.8580003429943</v>
      </c>
      <c r="J13" s="155">
        <f t="shared" si="0"/>
        <v>36989398.330294572</v>
      </c>
      <c r="K13" s="133">
        <f t="shared" si="2"/>
        <v>4.0111723519418934E+26</v>
      </c>
    </row>
    <row r="14" spans="1:11" ht="15" x14ac:dyDescent="0.2">
      <c r="A14" s="1">
        <v>10</v>
      </c>
      <c r="B14" s="2">
        <v>2.6000000000000001E+27</v>
      </c>
      <c r="C14" s="1">
        <v>0.754</v>
      </c>
      <c r="D14" s="1">
        <v>4190</v>
      </c>
      <c r="E14" s="1">
        <v>1.6773</v>
      </c>
      <c r="F14" s="1">
        <v>1.0000000000000001E-5</v>
      </c>
      <c r="G14" s="157">
        <v>100840</v>
      </c>
      <c r="H14" s="159"/>
      <c r="I14" s="154">
        <f t="shared" si="1"/>
        <v>5969.4954557037281</v>
      </c>
      <c r="J14" s="155">
        <f t="shared" si="0"/>
        <v>32849172.704183638</v>
      </c>
      <c r="K14" s="133">
        <f t="shared" si="2"/>
        <v>3.9477686018900903E+26</v>
      </c>
    </row>
    <row r="15" spans="1:11" ht="15" x14ac:dyDescent="0.2">
      <c r="A15" s="1">
        <v>11</v>
      </c>
      <c r="B15" s="2">
        <v>2.6500000000000002E+27</v>
      </c>
      <c r="C15" s="1">
        <v>0.76600000000000001</v>
      </c>
      <c r="D15" s="1">
        <v>4210</v>
      </c>
      <c r="E15" s="1">
        <v>1.6883999999999999</v>
      </c>
      <c r="F15" s="1">
        <v>1.0000000000000001E-5</v>
      </c>
      <c r="G15" s="157">
        <v>100860</v>
      </c>
      <c r="H15" s="159"/>
      <c r="I15" s="154">
        <f t="shared" si="1"/>
        <v>5981.2891282396504</v>
      </c>
      <c r="J15" s="155">
        <f t="shared" si="0"/>
        <v>29213263.741053022</v>
      </c>
      <c r="K15" s="133">
        <f t="shared" si="2"/>
        <v>3.8833602488145303E+26</v>
      </c>
    </row>
    <row r="16" spans="1:11" ht="15" x14ac:dyDescent="0.2">
      <c r="A16" s="1">
        <v>12</v>
      </c>
      <c r="B16" s="2">
        <v>2.6999999999999997E+27</v>
      </c>
      <c r="C16" s="1">
        <v>0.77800000000000002</v>
      </c>
      <c r="D16" s="1">
        <v>4230</v>
      </c>
      <c r="E16" s="1">
        <v>1.6995</v>
      </c>
      <c r="F16" s="1">
        <v>1.0000000000000001E-5</v>
      </c>
      <c r="G16" s="157">
        <v>100880</v>
      </c>
      <c r="H16" s="159"/>
      <c r="I16" s="154">
        <f t="shared" si="1"/>
        <v>5993.2346811171319</v>
      </c>
      <c r="J16" s="155">
        <f t="shared" si="0"/>
        <v>26015620.670095939</v>
      </c>
      <c r="K16" s="133">
        <f t="shared" si="2"/>
        <v>3.8180861492779449E+26</v>
      </c>
    </row>
    <row r="17" spans="1:11" ht="15" x14ac:dyDescent="0.2">
      <c r="A17" s="1">
        <v>13</v>
      </c>
      <c r="B17" s="2">
        <v>2.7499999999999998E+27</v>
      </c>
      <c r="C17" s="1">
        <v>0.79</v>
      </c>
      <c r="D17" s="1">
        <v>4250</v>
      </c>
      <c r="E17" s="1">
        <v>1.7105999999999999</v>
      </c>
      <c r="F17" s="1">
        <v>1.0000000000000001E-5</v>
      </c>
      <c r="G17" s="157">
        <v>100900</v>
      </c>
      <c r="H17" s="159"/>
      <c r="I17" s="154">
        <f t="shared" si="1"/>
        <v>6005.327936560383</v>
      </c>
      <c r="J17" s="155">
        <f t="shared" si="0"/>
        <v>23199409.379634324</v>
      </c>
      <c r="K17" s="133">
        <f t="shared" si="2"/>
        <v>3.7520783984411425E+26</v>
      </c>
    </row>
    <row r="18" spans="1:11" ht="15" x14ac:dyDescent="0.2">
      <c r="A18" s="1">
        <v>14</v>
      </c>
      <c r="B18" s="2">
        <v>2.7999999999999999E+27</v>
      </c>
      <c r="C18" s="1">
        <v>0.80200000000000005</v>
      </c>
      <c r="D18" s="1">
        <v>4270</v>
      </c>
      <c r="E18" s="1">
        <v>1.72169999999999</v>
      </c>
      <c r="F18" s="1">
        <v>1.0000000000000001E-5</v>
      </c>
      <c r="G18" s="157">
        <v>100920</v>
      </c>
      <c r="H18" s="159"/>
      <c r="I18" s="154">
        <f t="shared" si="1"/>
        <v>6017.5648686257</v>
      </c>
      <c r="J18" s="155">
        <f t="shared" si="0"/>
        <v>20715652.134965375</v>
      </c>
      <c r="K18" s="133">
        <f t="shared" si="2"/>
        <v>3.6854625208168716E+26</v>
      </c>
    </row>
    <row r="19" spans="1:11" ht="15" x14ac:dyDescent="0.2">
      <c r="A19" s="1">
        <v>15</v>
      </c>
      <c r="B19" s="2">
        <v>2.85E+27</v>
      </c>
      <c r="C19" s="1">
        <v>0.81400000000000095</v>
      </c>
      <c r="D19" s="1">
        <v>4290</v>
      </c>
      <c r="E19" s="1">
        <v>1.7327999999999999</v>
      </c>
      <c r="F19" s="1">
        <v>1.0000000000000001E-5</v>
      </c>
      <c r="G19" s="157">
        <v>100940</v>
      </c>
      <c r="H19" s="159"/>
      <c r="I19" s="154">
        <f t="shared" si="1"/>
        <v>6029.9415963659958</v>
      </c>
      <c r="J19" s="155">
        <f t="shared" si="0"/>
        <v>18522078.370248515</v>
      </c>
      <c r="K19" s="133">
        <f t="shared" si="2"/>
        <v>3.6183576608645785E+26</v>
      </c>
    </row>
    <row r="20" spans="1:11" ht="15" x14ac:dyDescent="0.2">
      <c r="A20" s="1">
        <v>16</v>
      </c>
      <c r="B20" s="2">
        <v>2.9000000000000001E+27</v>
      </c>
      <c r="C20" s="1">
        <v>0.82600000000000096</v>
      </c>
      <c r="D20" s="1">
        <v>4310</v>
      </c>
      <c r="E20" s="1">
        <v>1.7439</v>
      </c>
      <c r="F20" s="1">
        <v>1.0000000000000001E-5</v>
      </c>
      <c r="G20" s="157">
        <v>100960</v>
      </c>
      <c r="H20" s="159"/>
      <c r="I20" s="154">
        <f t="shared" si="1"/>
        <v>6042.4543773615242</v>
      </c>
      <c r="J20" s="155">
        <f t="shared" si="0"/>
        <v>16582152.296112368</v>
      </c>
      <c r="K20" s="133">
        <f t="shared" si="2"/>
        <v>3.550876773075277E+26</v>
      </c>
    </row>
    <row r="21" spans="1:11" ht="15" x14ac:dyDescent="0.2">
      <c r="A21" s="1">
        <v>17</v>
      </c>
      <c r="B21" s="2">
        <v>2.9500000000000002E+27</v>
      </c>
      <c r="C21" s="1">
        <v>0.83800000000000097</v>
      </c>
      <c r="D21" s="1">
        <v>4330</v>
      </c>
      <c r="E21" s="1">
        <v>1.7549999999999899</v>
      </c>
      <c r="F21" s="1">
        <v>1.0000000000000001E-5</v>
      </c>
      <c r="G21" s="157">
        <v>100980</v>
      </c>
      <c r="H21" s="159"/>
      <c r="I21" s="154">
        <f t="shared" si="1"/>
        <v>6055.0996015936389</v>
      </c>
      <c r="J21" s="155">
        <f t="shared" si="0"/>
        <v>14864248.854420969</v>
      </c>
      <c r="K21" s="133">
        <f t="shared" si="2"/>
        <v>3.4831268112169468E+26</v>
      </c>
    </row>
    <row r="22" spans="1:11" ht="15" x14ac:dyDescent="0.2">
      <c r="A22" s="1">
        <v>18</v>
      </c>
      <c r="B22" s="2">
        <v>2.9999999999999998E+27</v>
      </c>
      <c r="C22" s="1">
        <v>0.85000000000000098</v>
      </c>
      <c r="D22" s="1">
        <v>4350</v>
      </c>
      <c r="E22" s="1">
        <v>1.76609999999998</v>
      </c>
      <c r="F22" s="1">
        <v>1.0000000000000001E-5</v>
      </c>
      <c r="G22" s="157">
        <v>101000</v>
      </c>
      <c r="H22" s="159"/>
      <c r="I22" s="154">
        <f t="shared" si="1"/>
        <v>6067.8737856409716</v>
      </c>
      <c r="J22" s="155">
        <f t="shared" si="0"/>
        <v>13340954.326875553</v>
      </c>
      <c r="K22" s="133">
        <f t="shared" si="2"/>
        <v>3.4152089164364279E+26</v>
      </c>
    </row>
    <row r="23" spans="1:11" ht="15" x14ac:dyDescent="0.2">
      <c r="A23" s="1">
        <v>19</v>
      </c>
      <c r="B23" s="2">
        <v>3.0499999999999999E+27</v>
      </c>
      <c r="C23" s="1">
        <v>0.86200000000000099</v>
      </c>
      <c r="D23" s="1">
        <v>4370</v>
      </c>
      <c r="E23" s="1">
        <v>1.7771999999999699</v>
      </c>
      <c r="F23" s="1">
        <v>1.0000000000000001E-5</v>
      </c>
      <c r="G23" s="157">
        <v>101020</v>
      </c>
      <c r="H23" s="159"/>
      <c r="I23" s="154">
        <f t="shared" si="1"/>
        <v>6080.773567178243</v>
      </c>
      <c r="J23" s="155">
        <f t="shared" si="0"/>
        <v>11988471.848103553</v>
      </c>
      <c r="K23" s="133">
        <f t="shared" si="2"/>
        <v>3.3472186039339692E+26</v>
      </c>
    </row>
    <row r="24" spans="1:11" ht="15" x14ac:dyDescent="0.2">
      <c r="A24" s="1">
        <v>20</v>
      </c>
      <c r="B24" s="2">
        <v>3.1E+27</v>
      </c>
      <c r="C24" s="1">
        <v>0.874000000000001</v>
      </c>
      <c r="D24" s="1">
        <v>4390</v>
      </c>
      <c r="E24" s="1">
        <v>1.78829999999996</v>
      </c>
      <c r="F24" s="1">
        <v>1.0000000000000001E-5</v>
      </c>
      <c r="G24" s="157">
        <v>101040</v>
      </c>
      <c r="H24" s="159"/>
      <c r="I24" s="154">
        <f t="shared" si="1"/>
        <v>6093.7956997594256</v>
      </c>
      <c r="J24" s="155">
        <f t="shared" si="0"/>
        <v>10786115.336443253</v>
      </c>
      <c r="K24" s="133">
        <f t="shared" si="2"/>
        <v>3.2792459479478767E+26</v>
      </c>
    </row>
    <row r="25" spans="1:11" x14ac:dyDescent="0.2">
      <c r="A25" s="1">
        <v>21</v>
      </c>
      <c r="B25" s="2">
        <v>3.1500000000000001E+27</v>
      </c>
      <c r="C25" s="1">
        <v>0.88600000000000101</v>
      </c>
      <c r="D25" s="1">
        <v>4410</v>
      </c>
      <c r="E25" s="1">
        <v>1.7993999999999499</v>
      </c>
      <c r="F25" s="1">
        <v>1.0000000000000001E-5</v>
      </c>
      <c r="G25" s="157">
        <v>101060</v>
      </c>
      <c r="H25" s="160"/>
      <c r="I25" s="154">
        <f t="shared" si="1"/>
        <v>6106.9370478683122</v>
      </c>
      <c r="J25" s="155">
        <f t="shared" si="0"/>
        <v>9715878.0584364254</v>
      </c>
      <c r="K25" s="133">
        <f t="shared" si="2"/>
        <v>3.2113757648075718E+26</v>
      </c>
    </row>
    <row r="26" spans="1:11" x14ac:dyDescent="0.2">
      <c r="A26" s="1">
        <v>22</v>
      </c>
      <c r="B26" s="2">
        <v>3.2000000000000002E+27</v>
      </c>
      <c r="C26" s="1">
        <v>0.89800000000000102</v>
      </c>
      <c r="D26" s="1">
        <v>4430</v>
      </c>
      <c r="E26" s="1">
        <v>1.81049999999994</v>
      </c>
      <c r="F26" s="1">
        <v>1.0000000000000001E-5</v>
      </c>
      <c r="G26" s="157">
        <v>101080</v>
      </c>
      <c r="H26" s="160"/>
      <c r="I26" s="154">
        <f t="shared" si="1"/>
        <v>6120.1945822206044</v>
      </c>
      <c r="J26" s="155">
        <f t="shared" si="0"/>
        <v>8762064.2854597829</v>
      </c>
      <c r="K26" s="133">
        <f t="shared" si="2"/>
        <v>3.1436877938323943E+26</v>
      </c>
    </row>
    <row r="27" spans="1:11" x14ac:dyDescent="0.2">
      <c r="A27" s="1">
        <v>23</v>
      </c>
      <c r="B27" s="2">
        <v>3.2500000000000002E+27</v>
      </c>
      <c r="C27" s="1">
        <v>0.91000000000000103</v>
      </c>
      <c r="D27" s="1">
        <v>4450</v>
      </c>
      <c r="E27" s="1">
        <v>1.8215999999999299</v>
      </c>
      <c r="F27" s="1">
        <v>1.0000000000000001E-5</v>
      </c>
      <c r="G27" s="157">
        <v>101100</v>
      </c>
      <c r="H27" s="161"/>
      <c r="I27" s="154">
        <f t="shared" si="1"/>
        <v>6133.5653753027527</v>
      </c>
      <c r="J27" s="155">
        <f t="shared" si="0"/>
        <v>7910974.3641663119</v>
      </c>
      <c r="K27" s="133">
        <f t="shared" si="2"/>
        <v>3.076256875872443E+26</v>
      </c>
    </row>
    <row r="28" spans="1:11" x14ac:dyDescent="0.2">
      <c r="A28" s="1">
        <v>24</v>
      </c>
      <c r="B28" s="2">
        <v>3.2999999999999998E+27</v>
      </c>
      <c r="C28" s="1">
        <v>0.92200000000000104</v>
      </c>
      <c r="D28" s="1">
        <v>4470</v>
      </c>
      <c r="E28" s="1">
        <v>1.8326999999999201</v>
      </c>
      <c r="F28" s="1">
        <v>1.0000000000000001E-5</v>
      </c>
      <c r="G28" s="157">
        <v>101120</v>
      </c>
      <c r="H28" s="161"/>
      <c r="I28" s="154">
        <f t="shared" si="1"/>
        <v>6147.0465971337399</v>
      </c>
      <c r="J28" s="155">
        <f t="shared" si="0"/>
        <v>7150635.0728623066</v>
      </c>
      <c r="K28" s="133">
        <f t="shared" si="2"/>
        <v>3.0091531293054958E+26</v>
      </c>
    </row>
    <row r="29" spans="1:11" x14ac:dyDescent="0.2">
      <c r="A29" s="1">
        <v>25</v>
      </c>
      <c r="B29" s="2">
        <v>3.3499999999999999E+27</v>
      </c>
      <c r="C29" s="1">
        <v>0.93400000000000105</v>
      </c>
      <c r="D29" s="1">
        <v>4490</v>
      </c>
      <c r="E29" s="1">
        <v>1.84379999999991</v>
      </c>
      <c r="F29" s="1">
        <v>1.0000000000000001E-5</v>
      </c>
      <c r="G29" s="157">
        <v>101140</v>
      </c>
      <c r="H29" s="161"/>
      <c r="I29" s="154">
        <f t="shared" si="1"/>
        <v>6160.6355112369038</v>
      </c>
      <c r="J29" s="155">
        <f t="shared" si="0"/>
        <v>6470568.428028632</v>
      </c>
      <c r="K29" s="133">
        <f t="shared" si="2"/>
        <v>2.9424421233212987E+26</v>
      </c>
    </row>
  </sheetData>
  <phoneticPr fontId="2" type="noConversion"/>
  <conditionalFormatting sqref="H2">
    <cfRule type="expression" dxfId="12" priority="1">
      <formula>$H$2="OK! It's a valid task!!!"</formula>
    </cfRule>
    <cfRule type="expression" dxfId="11" priority="2">
      <formula>$H$2="Invalid task is given!!!"</formula>
    </cfRule>
  </conditionalFormatting>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205"/>
  <sheetViews>
    <sheetView workbookViewId="0">
      <selection activeCell="K4" sqref="K4"/>
    </sheetView>
  </sheetViews>
  <sheetFormatPr defaultRowHeight="12.75" x14ac:dyDescent="0.2"/>
  <cols>
    <col min="1" max="1" width="4.7109375" customWidth="1"/>
    <col min="2" max="2" width="9.85546875" customWidth="1"/>
    <col min="5" max="5" width="17.85546875" customWidth="1"/>
    <col min="6" max="6" width="9.85546875" customWidth="1"/>
    <col min="7" max="7" width="11.42578125" bestFit="1" customWidth="1"/>
    <col min="8" max="8" width="8" customWidth="1"/>
    <col min="9" max="9" width="3" bestFit="1" customWidth="1"/>
    <col min="10" max="10" width="3" customWidth="1"/>
    <col min="11" max="11" width="4.85546875" customWidth="1"/>
    <col min="12" max="12" width="11.5703125" customWidth="1"/>
    <col min="16" max="16" width="12.42578125" bestFit="1" customWidth="1"/>
    <col min="17" max="17" width="12.42578125" customWidth="1"/>
    <col min="19" max="19" width="4.5703125" bestFit="1" customWidth="1"/>
    <col min="20" max="20" width="2" bestFit="1" customWidth="1"/>
    <col min="21" max="21" width="4" bestFit="1" customWidth="1"/>
  </cols>
  <sheetData>
    <row r="1" spans="1:21" x14ac:dyDescent="0.2">
      <c r="A1" s="78" t="s">
        <v>70</v>
      </c>
    </row>
    <row r="2" spans="1:21" x14ac:dyDescent="0.2">
      <c r="A2" s="78" t="s">
        <v>55</v>
      </c>
    </row>
    <row r="3" spans="1:21" ht="13.5" thickBot="1" x14ac:dyDescent="0.25">
      <c r="A3" s="85" t="s">
        <v>71</v>
      </c>
      <c r="K3" s="85" t="s">
        <v>72</v>
      </c>
      <c r="L3" s="3"/>
    </row>
    <row r="4" spans="1:21" ht="38.25" x14ac:dyDescent="0.2">
      <c r="A4" s="86" t="s">
        <v>54</v>
      </c>
      <c r="B4" s="87" t="s">
        <v>61</v>
      </c>
      <c r="C4" s="87" t="s">
        <v>62</v>
      </c>
      <c r="D4" s="87" t="s">
        <v>63</v>
      </c>
      <c r="E4" s="88" t="s">
        <v>64</v>
      </c>
      <c r="F4" s="89" t="s">
        <v>65</v>
      </c>
      <c r="G4" s="90" t="s">
        <v>16</v>
      </c>
      <c r="H4" s="91" t="s">
        <v>66</v>
      </c>
      <c r="I4" s="92" t="s">
        <v>2</v>
      </c>
      <c r="K4" s="93" t="s">
        <v>54</v>
      </c>
      <c r="L4" s="88" t="s">
        <v>67</v>
      </c>
      <c r="M4" s="88" t="s">
        <v>68</v>
      </c>
      <c r="N4" s="88" t="s">
        <v>69</v>
      </c>
      <c r="O4" s="94" t="s">
        <v>16</v>
      </c>
      <c r="P4" s="94" t="s">
        <v>56</v>
      </c>
      <c r="Q4" s="94" t="s">
        <v>60</v>
      </c>
      <c r="R4" s="94" t="s">
        <v>57</v>
      </c>
      <c r="S4" s="94" t="s">
        <v>58</v>
      </c>
      <c r="T4" s="94" t="s">
        <v>59</v>
      </c>
      <c r="U4" s="95" t="s">
        <v>1</v>
      </c>
    </row>
    <row r="5" spans="1:21" ht="13.5" thickBot="1" x14ac:dyDescent="0.25">
      <c r="A5" s="96">
        <v>0</v>
      </c>
      <c r="B5" s="97">
        <f>S5</f>
        <v>-1</v>
      </c>
      <c r="C5" s="98">
        <f>(EXP(B5)-2-B5)^2</f>
        <v>0.39957640089372803</v>
      </c>
      <c r="D5" s="98">
        <f>H5</f>
        <v>0.2</v>
      </c>
      <c r="E5" s="99">
        <f>$R$5-C5</f>
        <v>0.60042359910627197</v>
      </c>
      <c r="F5" s="100"/>
      <c r="G5" s="101">
        <f>O5</f>
        <v>0.01</v>
      </c>
      <c r="H5" s="102">
        <v>0.2</v>
      </c>
      <c r="I5" s="63">
        <v>10</v>
      </c>
      <c r="K5" s="14">
        <v>0</v>
      </c>
      <c r="L5" s="15">
        <f>N5-$R$5</f>
        <v>-0.60042359910627197</v>
      </c>
      <c r="M5" s="103">
        <f>S5</f>
        <v>-1</v>
      </c>
      <c r="N5" s="15">
        <f>(EXP(M5)-2-M5)^2</f>
        <v>0.39957640089372803</v>
      </c>
      <c r="O5" s="104">
        <f>($T$5-$S$5)/$U$5</f>
        <v>0.01</v>
      </c>
      <c r="P5" s="105">
        <f>MIN(N5:N205)</f>
        <v>7.9365128176377642E-2</v>
      </c>
      <c r="Q5" s="105"/>
      <c r="R5" s="106">
        <f>MAX(N5:N205)</f>
        <v>1</v>
      </c>
      <c r="S5" s="104">
        <v>-1</v>
      </c>
      <c r="T5" s="107">
        <v>1</v>
      </c>
      <c r="U5" s="108">
        <v>200</v>
      </c>
    </row>
    <row r="6" spans="1:21" ht="13.5" thickBot="1" x14ac:dyDescent="0.25">
      <c r="A6" s="109">
        <v>1</v>
      </c>
      <c r="B6" s="110">
        <f>B5+$H$5</f>
        <v>-0.8</v>
      </c>
      <c r="C6" s="111">
        <f t="shared" ref="C6:C69" si="0">(EXP(B6)-2-B6)^2</f>
        <v>0.56350700411332355</v>
      </c>
      <c r="D6" s="111">
        <f>D5</f>
        <v>0.2</v>
      </c>
      <c r="E6" s="112">
        <f t="shared" ref="E6:E69" si="1">$R$5-C6</f>
        <v>0.43649299588667645</v>
      </c>
      <c r="F6" s="113">
        <f>ABS(B6-B5)</f>
        <v>0.19999999999999996</v>
      </c>
      <c r="G6" s="114" t="s">
        <v>4</v>
      </c>
      <c r="K6" s="115">
        <v>1</v>
      </c>
      <c r="L6" s="115">
        <f t="shared" ref="L6:L69" si="2">N6-$R$5</f>
        <v>-0.59241567855363952</v>
      </c>
      <c r="M6" s="116">
        <f>M5+$O$5</f>
        <v>-0.99</v>
      </c>
      <c r="N6" s="115">
        <f t="shared" ref="N6:N69" si="3">(EXP(M6)-2-M6)^2</f>
        <v>0.40758432144636048</v>
      </c>
    </row>
    <row r="7" spans="1:21" ht="13.5" thickBot="1" x14ac:dyDescent="0.25">
      <c r="A7" s="117">
        <v>2</v>
      </c>
      <c r="B7" s="118">
        <f>IF(C6&lt;=C5,
         IF(ABS(D6)&lt;=($G$5/$I$5),
                         B6,
                         B6+D7),
         B6+D7)</f>
        <v>-0.60000000000000009</v>
      </c>
      <c r="C7" s="117">
        <f t="shared" si="0"/>
        <v>0.72452163084892784</v>
      </c>
      <c r="D7" s="117">
        <f>IF(C6&lt;=C5,
         IF(ABS(D6)&lt;=($G$5/$I$5),
                         D6,
                         -D6/$I$5),
         D6)</f>
        <v>0.2</v>
      </c>
      <c r="E7" s="119">
        <f t="shared" si="1"/>
        <v>0.27547836915107216</v>
      </c>
      <c r="F7" s="120">
        <f>ABS(B7-B6)</f>
        <v>0.19999999999999996</v>
      </c>
      <c r="G7" s="121">
        <f>VLOOKUP(100,K5:N205,3)</f>
        <v>7.5286998857393428E-16</v>
      </c>
      <c r="K7" s="1">
        <v>2</v>
      </c>
      <c r="L7" s="1">
        <f t="shared" si="2"/>
        <v>-0.58437622073580986</v>
      </c>
      <c r="M7" s="122">
        <f t="shared" ref="M7:M70" si="4">M6+$O$5</f>
        <v>-0.98</v>
      </c>
      <c r="N7" s="1">
        <f t="shared" si="3"/>
        <v>0.41562377926419009</v>
      </c>
    </row>
    <row r="8" spans="1:21" x14ac:dyDescent="0.2">
      <c r="A8" s="123">
        <v>3</v>
      </c>
      <c r="B8" s="118">
        <f t="shared" ref="B8:B71" si="5">IF(C7&lt;=C6,
         IF(ABS(D7)&lt;=($G$5/$I$5),
                         B7,
                         B7+D8),
         B7+D8)</f>
        <v>-0.40000000000000008</v>
      </c>
      <c r="C8" s="123">
        <f t="shared" si="0"/>
        <v>0.86430481680317595</v>
      </c>
      <c r="D8" s="117">
        <f t="shared" ref="D8:D71" si="6">IF(C7&lt;=C6,
         IF(ABS(D7)&lt;=($G$5/$I$5),
                         D7,
                         -D7/$I$5),
         D7)</f>
        <v>0.2</v>
      </c>
      <c r="E8" s="124">
        <f t="shared" si="1"/>
        <v>0.13569518319682405</v>
      </c>
      <c r="F8" s="49">
        <f>ABS(B8-B7)</f>
        <v>0.2</v>
      </c>
      <c r="K8" s="1">
        <v>3</v>
      </c>
      <c r="L8" s="1">
        <f t="shared" si="2"/>
        <v>-0.57630710871529844</v>
      </c>
      <c r="M8" s="122">
        <f t="shared" si="4"/>
        <v>-0.97</v>
      </c>
      <c r="N8" s="1">
        <f t="shared" si="3"/>
        <v>0.4236928912847015</v>
      </c>
    </row>
    <row r="9" spans="1:21" x14ac:dyDescent="0.2">
      <c r="A9" s="123">
        <v>4</v>
      </c>
      <c r="B9" s="118">
        <f t="shared" si="5"/>
        <v>-0.20000000000000007</v>
      </c>
      <c r="C9" s="123">
        <f t="shared" si="0"/>
        <v>0.96288933495490481</v>
      </c>
      <c r="D9" s="117">
        <f t="shared" si="6"/>
        <v>0.2</v>
      </c>
      <c r="E9" s="124">
        <f t="shared" si="1"/>
        <v>3.7110665045095192E-2</v>
      </c>
      <c r="F9" s="49">
        <f t="shared" ref="F9:F72" si="7">ABS(B9-B8)</f>
        <v>0.2</v>
      </c>
      <c r="K9" s="1">
        <v>4</v>
      </c>
      <c r="L9" s="1">
        <f t="shared" si="2"/>
        <v>-0.56821024069788273</v>
      </c>
      <c r="M9" s="122">
        <f t="shared" si="4"/>
        <v>-0.96</v>
      </c>
      <c r="N9" s="1">
        <f t="shared" si="3"/>
        <v>0.43178975930211727</v>
      </c>
    </row>
    <row r="10" spans="1:21" x14ac:dyDescent="0.2">
      <c r="A10" s="123">
        <v>5</v>
      </c>
      <c r="B10" s="118">
        <f t="shared" si="5"/>
        <v>-5.5511151231257827E-17</v>
      </c>
      <c r="C10" s="123">
        <f t="shared" si="0"/>
        <v>1</v>
      </c>
      <c r="D10" s="117">
        <f t="shared" si="6"/>
        <v>0.2</v>
      </c>
      <c r="E10" s="124">
        <f t="shared" si="1"/>
        <v>0</v>
      </c>
      <c r="F10" s="49">
        <f t="shared" si="7"/>
        <v>0.2</v>
      </c>
      <c r="K10" s="1">
        <v>5</v>
      </c>
      <c r="L10" s="1">
        <f t="shared" si="2"/>
        <v>-0.56008753003181744</v>
      </c>
      <c r="M10" s="122">
        <f t="shared" si="4"/>
        <v>-0.95</v>
      </c>
      <c r="N10" s="1">
        <f t="shared" si="3"/>
        <v>0.43991246996818256</v>
      </c>
    </row>
    <row r="11" spans="1:21" x14ac:dyDescent="0.2">
      <c r="A11" s="123">
        <v>6</v>
      </c>
      <c r="B11" s="118">
        <f t="shared" si="5"/>
        <v>0.19999999999999996</v>
      </c>
      <c r="C11" s="123">
        <f t="shared" si="0"/>
        <v>0.95765256173652291</v>
      </c>
      <c r="D11" s="117">
        <f t="shared" si="6"/>
        <v>0.2</v>
      </c>
      <c r="E11" s="124">
        <f t="shared" si="1"/>
        <v>4.2347438263477089E-2</v>
      </c>
      <c r="F11" s="49">
        <f t="shared" si="7"/>
        <v>0.2</v>
      </c>
      <c r="K11" s="1">
        <v>6</v>
      </c>
      <c r="L11" s="1">
        <f t="shared" si="2"/>
        <v>-0.55194090520318073</v>
      </c>
      <c r="M11" s="122">
        <f t="shared" si="4"/>
        <v>-0.94</v>
      </c>
      <c r="N11" s="1">
        <f t="shared" si="3"/>
        <v>0.44805909479681921</v>
      </c>
    </row>
    <row r="12" spans="1:21" x14ac:dyDescent="0.2">
      <c r="A12" s="123">
        <v>7</v>
      </c>
      <c r="B12" s="118">
        <f t="shared" si="5"/>
        <v>0.17999999999999997</v>
      </c>
      <c r="C12" s="123">
        <f t="shared" si="0"/>
        <v>0.96586171134924781</v>
      </c>
      <c r="D12" s="117">
        <f t="shared" si="6"/>
        <v>-0.02</v>
      </c>
      <c r="E12" s="124">
        <f t="shared" si="1"/>
        <v>3.4138288650752191E-2</v>
      </c>
      <c r="F12" s="49">
        <f t="shared" si="7"/>
        <v>1.999999999999999E-2</v>
      </c>
      <c r="K12" s="1">
        <v>7</v>
      </c>
      <c r="L12" s="1">
        <f t="shared" si="2"/>
        <v>-0.54377230982722913</v>
      </c>
      <c r="M12" s="122">
        <f t="shared" si="4"/>
        <v>-0.92999999999999994</v>
      </c>
      <c r="N12" s="1">
        <f t="shared" si="3"/>
        <v>0.45622769017277082</v>
      </c>
    </row>
    <row r="13" spans="1:21" x14ac:dyDescent="0.2">
      <c r="A13" s="123">
        <v>8</v>
      </c>
      <c r="B13" s="118">
        <f t="shared" si="5"/>
        <v>0.15999999999999998</v>
      </c>
      <c r="C13" s="123">
        <f t="shared" si="0"/>
        <v>0.97316080165133656</v>
      </c>
      <c r="D13" s="117">
        <f t="shared" si="6"/>
        <v>-0.02</v>
      </c>
      <c r="E13" s="124">
        <f t="shared" si="1"/>
        <v>2.683919834866344E-2</v>
      </c>
      <c r="F13" s="49">
        <f t="shared" si="7"/>
        <v>1.999999999999999E-2</v>
      </c>
      <c r="K13" s="1">
        <v>8</v>
      </c>
      <c r="L13" s="1">
        <f t="shared" si="2"/>
        <v>-0.53558370263563004</v>
      </c>
      <c r="M13" s="122">
        <f t="shared" si="4"/>
        <v>-0.91999999999999993</v>
      </c>
      <c r="N13" s="1">
        <f t="shared" si="3"/>
        <v>0.46441629736437001</v>
      </c>
    </row>
    <row r="14" spans="1:21" x14ac:dyDescent="0.2">
      <c r="A14" s="123">
        <v>9</v>
      </c>
      <c r="B14" s="118">
        <f t="shared" si="5"/>
        <v>0.13999999999999999</v>
      </c>
      <c r="C14" s="123">
        <f t="shared" si="0"/>
        <v>0.97955795322850403</v>
      </c>
      <c r="D14" s="117">
        <f t="shared" si="6"/>
        <v>-0.02</v>
      </c>
      <c r="E14" s="124">
        <f t="shared" si="1"/>
        <v>2.044204677149597E-2</v>
      </c>
      <c r="F14" s="49">
        <f t="shared" si="7"/>
        <v>1.999999999999999E-2</v>
      </c>
      <c r="K14" s="1">
        <v>9</v>
      </c>
      <c r="L14" s="1">
        <f t="shared" si="2"/>
        <v>-0.52737705745944552</v>
      </c>
      <c r="M14" s="122">
        <f t="shared" si="4"/>
        <v>-0.90999999999999992</v>
      </c>
      <c r="N14" s="1">
        <f t="shared" si="3"/>
        <v>0.47262294254055448</v>
      </c>
    </row>
    <row r="15" spans="1:21" x14ac:dyDescent="0.2">
      <c r="A15" s="123">
        <v>10</v>
      </c>
      <c r="B15" s="118">
        <f t="shared" si="5"/>
        <v>0.11999999999999998</v>
      </c>
      <c r="C15" s="123">
        <f t="shared" si="0"/>
        <v>0.98506249962485171</v>
      </c>
      <c r="D15" s="117">
        <f t="shared" si="6"/>
        <v>-0.02</v>
      </c>
      <c r="E15" s="124">
        <f t="shared" si="1"/>
        <v>1.4937500375148294E-2</v>
      </c>
      <c r="F15" s="49">
        <f t="shared" si="7"/>
        <v>2.0000000000000004E-2</v>
      </c>
      <c r="K15" s="1">
        <v>10</v>
      </c>
      <c r="L15" s="1">
        <f t="shared" si="2"/>
        <v>-0.51915436320773156</v>
      </c>
      <c r="M15" s="122">
        <f t="shared" si="4"/>
        <v>-0.89999999999999991</v>
      </c>
      <c r="N15" s="1">
        <f t="shared" si="3"/>
        <v>0.48084563679226844</v>
      </c>
    </row>
    <row r="16" spans="1:21" x14ac:dyDescent="0.2">
      <c r="A16" s="123">
        <v>11</v>
      </c>
      <c r="B16" s="118">
        <f t="shared" si="5"/>
        <v>9.9999999999999978E-2</v>
      </c>
      <c r="C16" s="123">
        <f t="shared" si="0"/>
        <v>0.98968490224244998</v>
      </c>
      <c r="D16" s="117">
        <f t="shared" si="6"/>
        <v>-0.02</v>
      </c>
      <c r="E16" s="124">
        <f t="shared" si="1"/>
        <v>1.0315097757550018E-2</v>
      </c>
      <c r="F16" s="49">
        <f t="shared" si="7"/>
        <v>2.0000000000000004E-2</v>
      </c>
      <c r="K16" s="1">
        <v>11</v>
      </c>
      <c r="L16" s="1">
        <f t="shared" si="2"/>
        <v>-0.51091762384161143</v>
      </c>
      <c r="M16" s="122">
        <f t="shared" si="4"/>
        <v>-0.8899999999999999</v>
      </c>
      <c r="N16" s="1">
        <f t="shared" si="3"/>
        <v>0.48908237615838857</v>
      </c>
    </row>
    <row r="17" spans="1:14" x14ac:dyDescent="0.2">
      <c r="A17" s="123">
        <v>12</v>
      </c>
      <c r="B17" s="118">
        <f t="shared" si="5"/>
        <v>7.9999999999999974E-2</v>
      </c>
      <c r="C17" s="123">
        <f t="shared" si="0"/>
        <v>0.99343666946398246</v>
      </c>
      <c r="D17" s="117">
        <f t="shared" si="6"/>
        <v>-0.02</v>
      </c>
      <c r="E17" s="124">
        <f t="shared" si="1"/>
        <v>6.563330536017542E-3</v>
      </c>
      <c r="F17" s="49">
        <f t="shared" si="7"/>
        <v>2.0000000000000004E-2</v>
      </c>
      <c r="K17" s="1">
        <v>12</v>
      </c>
      <c r="L17" s="1">
        <f t="shared" si="2"/>
        <v>-0.50266885834369179</v>
      </c>
      <c r="M17" s="122">
        <f t="shared" si="4"/>
        <v>-0.87999999999999989</v>
      </c>
      <c r="N17" s="1">
        <f t="shared" si="3"/>
        <v>0.49733114165630815</v>
      </c>
    </row>
    <row r="18" spans="1:14" x14ac:dyDescent="0.2">
      <c r="A18" s="123">
        <v>13</v>
      </c>
      <c r="B18" s="118">
        <f t="shared" si="5"/>
        <v>5.999999999999997E-2</v>
      </c>
      <c r="C18" s="123">
        <f t="shared" si="0"/>
        <v>0.99633027981249389</v>
      </c>
      <c r="D18" s="117">
        <f t="shared" si="6"/>
        <v>-0.02</v>
      </c>
      <c r="E18" s="124">
        <f t="shared" si="1"/>
        <v>3.6697201875061092E-3</v>
      </c>
      <c r="F18" s="49">
        <f t="shared" si="7"/>
        <v>2.0000000000000004E-2</v>
      </c>
      <c r="K18" s="1">
        <v>13</v>
      </c>
      <c r="L18" s="1">
        <f t="shared" si="2"/>
        <v>-0.49441010068266711</v>
      </c>
      <c r="M18" s="122">
        <f t="shared" si="4"/>
        <v>-0.86999999999999988</v>
      </c>
      <c r="N18" s="1">
        <f t="shared" si="3"/>
        <v>0.50558989931733289</v>
      </c>
    </row>
    <row r="19" spans="1:14" x14ac:dyDescent="0.2">
      <c r="A19" s="123">
        <v>14</v>
      </c>
      <c r="B19" s="118">
        <f t="shared" si="5"/>
        <v>3.9999999999999966E-2</v>
      </c>
      <c r="C19" s="123">
        <f t="shared" si="0"/>
        <v>0.99837910897001447</v>
      </c>
      <c r="D19" s="117">
        <f t="shared" si="6"/>
        <v>-0.02</v>
      </c>
      <c r="E19" s="124">
        <f t="shared" si="1"/>
        <v>1.6208910299855273E-3</v>
      </c>
      <c r="F19" s="49">
        <f t="shared" si="7"/>
        <v>2.0000000000000004E-2</v>
      </c>
      <c r="K19" s="1">
        <v>14</v>
      </c>
      <c r="L19" s="1">
        <f t="shared" si="2"/>
        <v>-0.48614339977297394</v>
      </c>
      <c r="M19" s="122">
        <f t="shared" si="4"/>
        <v>-0.85999999999999988</v>
      </c>
      <c r="N19" s="1">
        <f t="shared" si="3"/>
        <v>0.51385660022702606</v>
      </c>
    </row>
    <row r="20" spans="1:14" x14ac:dyDescent="0.2">
      <c r="A20" s="123">
        <v>15</v>
      </c>
      <c r="B20" s="118">
        <f t="shared" si="5"/>
        <v>1.9999999999999966E-2</v>
      </c>
      <c r="C20" s="123">
        <f t="shared" si="0"/>
        <v>0.99959736048429482</v>
      </c>
      <c r="D20" s="117">
        <f t="shared" si="6"/>
        <v>-0.02</v>
      </c>
      <c r="E20" s="124">
        <f t="shared" si="1"/>
        <v>4.0263951570518319E-4</v>
      </c>
      <c r="F20" s="49">
        <f t="shared" si="7"/>
        <v>0.02</v>
      </c>
      <c r="K20" s="1">
        <v>15</v>
      </c>
      <c r="L20" s="1">
        <f t="shared" si="2"/>
        <v>-0.47787081942933674</v>
      </c>
      <c r="M20" s="122">
        <f t="shared" si="4"/>
        <v>-0.84999999999999987</v>
      </c>
      <c r="N20" s="1">
        <f t="shared" si="3"/>
        <v>0.52212918057066326</v>
      </c>
    </row>
    <row r="21" spans="1:14" x14ac:dyDescent="0.2">
      <c r="A21" s="123">
        <v>16</v>
      </c>
      <c r="B21" s="118">
        <f t="shared" si="5"/>
        <v>-3.4694469519536142E-17</v>
      </c>
      <c r="C21" s="123">
        <f t="shared" si="0"/>
        <v>1</v>
      </c>
      <c r="D21" s="117">
        <f t="shared" si="6"/>
        <v>-0.02</v>
      </c>
      <c r="E21" s="124">
        <f t="shared" si="1"/>
        <v>0</v>
      </c>
      <c r="F21" s="49">
        <f t="shared" si="7"/>
        <v>0.02</v>
      </c>
      <c r="K21" s="1">
        <v>16</v>
      </c>
      <c r="L21" s="1">
        <f t="shared" si="2"/>
        <v>-0.46959443831605474</v>
      </c>
      <c r="M21" s="122">
        <f t="shared" si="4"/>
        <v>-0.83999999999999986</v>
      </c>
      <c r="N21" s="1">
        <f t="shared" si="3"/>
        <v>0.53040556168394526</v>
      </c>
    </row>
    <row r="22" spans="1:14" x14ac:dyDescent="0.2">
      <c r="A22" s="123">
        <v>17</v>
      </c>
      <c r="B22" s="118">
        <f t="shared" si="5"/>
        <v>-2.0000000000000035E-2</v>
      </c>
      <c r="C22" s="123">
        <f t="shared" si="0"/>
        <v>0.99960269285757208</v>
      </c>
      <c r="D22" s="117">
        <f t="shared" si="6"/>
        <v>-0.02</v>
      </c>
      <c r="E22" s="124">
        <f t="shared" si="1"/>
        <v>3.973071424279162E-4</v>
      </c>
      <c r="F22" s="49">
        <f t="shared" si="7"/>
        <v>0.02</v>
      </c>
      <c r="K22" s="1">
        <v>17</v>
      </c>
      <c r="L22" s="1">
        <f t="shared" si="2"/>
        <v>-0.46131634989087278</v>
      </c>
      <c r="M22" s="122">
        <f t="shared" si="4"/>
        <v>-0.82999999999999985</v>
      </c>
      <c r="N22" s="1">
        <f t="shared" si="3"/>
        <v>0.53868365010912722</v>
      </c>
    </row>
    <row r="23" spans="1:14" x14ac:dyDescent="0.2">
      <c r="A23" s="123">
        <v>18</v>
      </c>
      <c r="B23" s="118">
        <f t="shared" si="5"/>
        <v>-1.8000000000000037E-2</v>
      </c>
      <c r="C23" s="123">
        <f t="shared" si="0"/>
        <v>0.99967796121481933</v>
      </c>
      <c r="D23" s="117">
        <f t="shared" si="6"/>
        <v>2E-3</v>
      </c>
      <c r="E23" s="124">
        <f t="shared" si="1"/>
        <v>3.220387851806672E-4</v>
      </c>
      <c r="F23" s="49">
        <f t="shared" si="7"/>
        <v>1.9999999999999983E-3</v>
      </c>
      <c r="K23" s="1">
        <v>18</v>
      </c>
      <c r="L23" s="1">
        <f t="shared" si="2"/>
        <v>-0.4530386623432664</v>
      </c>
      <c r="M23" s="122">
        <f t="shared" si="4"/>
        <v>-0.81999999999999984</v>
      </c>
      <c r="N23" s="1">
        <f t="shared" si="3"/>
        <v>0.5469613376567336</v>
      </c>
    </row>
    <row r="24" spans="1:14" x14ac:dyDescent="0.2">
      <c r="A24" s="123">
        <v>19</v>
      </c>
      <c r="B24" s="118">
        <f t="shared" si="5"/>
        <v>-1.6000000000000035E-2</v>
      </c>
      <c r="C24" s="123">
        <f t="shared" si="0"/>
        <v>0.99974537609982661</v>
      </c>
      <c r="D24" s="117">
        <f t="shared" si="6"/>
        <v>2E-3</v>
      </c>
      <c r="E24" s="124">
        <f t="shared" si="1"/>
        <v>2.5462390017338965E-4</v>
      </c>
      <c r="F24" s="49">
        <f t="shared" si="7"/>
        <v>2.0000000000000018E-3</v>
      </c>
      <c r="K24" s="1">
        <v>19</v>
      </c>
      <c r="L24" s="1">
        <f t="shared" si="2"/>
        <v>-0.44476349852698527</v>
      </c>
      <c r="M24" s="122">
        <f t="shared" si="4"/>
        <v>-0.80999999999999983</v>
      </c>
      <c r="N24" s="1">
        <f t="shared" si="3"/>
        <v>0.55523650147301473</v>
      </c>
    </row>
    <row r="25" spans="1:14" x14ac:dyDescent="0.2">
      <c r="A25" s="123">
        <v>20</v>
      </c>
      <c r="B25" s="118">
        <f t="shared" si="5"/>
        <v>-1.4000000000000035E-2</v>
      </c>
      <c r="C25" s="123">
        <f t="shared" si="0"/>
        <v>0.99980492098915941</v>
      </c>
      <c r="D25" s="117">
        <f t="shared" si="6"/>
        <v>2E-3</v>
      </c>
      <c r="E25" s="124">
        <f t="shared" si="1"/>
        <v>1.9507901084059309E-4</v>
      </c>
      <c r="F25" s="49">
        <f t="shared" si="7"/>
        <v>2E-3</v>
      </c>
      <c r="K25" s="1">
        <v>20</v>
      </c>
      <c r="L25" s="1">
        <f t="shared" si="2"/>
        <v>-0.43649299588667612</v>
      </c>
      <c r="M25" s="122">
        <f t="shared" si="4"/>
        <v>-0.79999999999999982</v>
      </c>
      <c r="N25" s="1">
        <f t="shared" si="3"/>
        <v>0.56350700411332388</v>
      </c>
    </row>
    <row r="26" spans="1:14" x14ac:dyDescent="0.2">
      <c r="A26" s="123">
        <v>21</v>
      </c>
      <c r="B26" s="118">
        <f t="shared" si="5"/>
        <v>-1.2000000000000035E-2</v>
      </c>
      <c r="C26" s="123">
        <f t="shared" si="0"/>
        <v>0.99985657941887351</v>
      </c>
      <c r="D26" s="117">
        <f t="shared" si="6"/>
        <v>2E-3</v>
      </c>
      <c r="E26" s="124">
        <f t="shared" si="1"/>
        <v>1.4342058112648548E-4</v>
      </c>
      <c r="F26" s="49">
        <f t="shared" si="7"/>
        <v>2E-3</v>
      </c>
      <c r="K26" s="1">
        <v>21</v>
      </c>
      <c r="L26" s="1">
        <f t="shared" si="2"/>
        <v>-0.42822930637841738</v>
      </c>
      <c r="M26" s="122">
        <f t="shared" si="4"/>
        <v>-0.78999999999999981</v>
      </c>
      <c r="N26" s="1">
        <f t="shared" si="3"/>
        <v>0.57177069362158262</v>
      </c>
    </row>
    <row r="27" spans="1:14" x14ac:dyDescent="0.2">
      <c r="A27" s="123">
        <v>22</v>
      </c>
      <c r="B27" s="118">
        <f t="shared" si="5"/>
        <v>-1.0000000000000035E-2</v>
      </c>
      <c r="C27" s="123">
        <f t="shared" si="0"/>
        <v>0.99990033498506681</v>
      </c>
      <c r="D27" s="117">
        <f t="shared" si="6"/>
        <v>2E-3</v>
      </c>
      <c r="E27" s="124">
        <f t="shared" si="1"/>
        <v>9.9665014933192353E-5</v>
      </c>
      <c r="F27" s="49">
        <f t="shared" si="7"/>
        <v>2E-3</v>
      </c>
      <c r="K27" s="1">
        <v>22</v>
      </c>
      <c r="L27" s="1">
        <f t="shared" si="2"/>
        <v>-0.41997459638398038</v>
      </c>
      <c r="M27" s="122">
        <f t="shared" si="4"/>
        <v>-0.7799999999999998</v>
      </c>
      <c r="N27" s="1">
        <f t="shared" si="3"/>
        <v>0.58002540361601962</v>
      </c>
    </row>
    <row r="28" spans="1:14" x14ac:dyDescent="0.2">
      <c r="A28" s="123">
        <v>23</v>
      </c>
      <c r="B28" s="118">
        <f t="shared" si="5"/>
        <v>-8.0000000000000349E-3</v>
      </c>
      <c r="C28" s="123">
        <f t="shared" si="0"/>
        <v>0.99993617134443546</v>
      </c>
      <c r="D28" s="117">
        <f t="shared" si="6"/>
        <v>2E-3</v>
      </c>
      <c r="E28" s="124">
        <f t="shared" si="1"/>
        <v>6.3828655564535097E-5</v>
      </c>
      <c r="F28" s="49">
        <f t="shared" si="7"/>
        <v>2E-3</v>
      </c>
      <c r="K28" s="1">
        <v>23</v>
      </c>
      <c r="L28" s="1">
        <f t="shared" si="2"/>
        <v>-0.4117310466186429</v>
      </c>
      <c r="M28" s="122">
        <f t="shared" si="4"/>
        <v>-0.7699999999999998</v>
      </c>
      <c r="N28" s="1">
        <f t="shared" si="3"/>
        <v>0.5882689533813571</v>
      </c>
    </row>
    <row r="29" spans="1:14" x14ac:dyDescent="0.2">
      <c r="A29" s="123">
        <v>24</v>
      </c>
      <c r="B29" s="118">
        <f t="shared" si="5"/>
        <v>-6.0000000000000348E-3</v>
      </c>
      <c r="C29" s="123">
        <f t="shared" si="0"/>
        <v>0.99996407221483663</v>
      </c>
      <c r="D29" s="117">
        <f t="shared" si="6"/>
        <v>2E-3</v>
      </c>
      <c r="E29" s="124">
        <f t="shared" si="1"/>
        <v>3.5927785163369919E-5</v>
      </c>
      <c r="F29" s="49">
        <f t="shared" si="7"/>
        <v>2E-3</v>
      </c>
      <c r="K29" s="1">
        <v>24</v>
      </c>
      <c r="L29" s="1">
        <f t="shared" si="2"/>
        <v>-0.40350085203235997</v>
      </c>
      <c r="M29" s="122">
        <f t="shared" si="4"/>
        <v>-0.75999999999999979</v>
      </c>
      <c r="N29" s="1">
        <f t="shared" si="3"/>
        <v>0.59649914796764003</v>
      </c>
    </row>
    <row r="30" spans="1:14" x14ac:dyDescent="0.2">
      <c r="A30" s="123">
        <v>25</v>
      </c>
      <c r="B30" s="118">
        <f t="shared" si="5"/>
        <v>-4.0000000000000348E-3</v>
      </c>
      <c r="C30" s="123">
        <f t="shared" si="0"/>
        <v>0.99998402137584663</v>
      </c>
      <c r="D30" s="117">
        <f t="shared" si="6"/>
        <v>2E-3</v>
      </c>
      <c r="E30" s="124">
        <f t="shared" si="1"/>
        <v>1.5978624153367704E-5</v>
      </c>
      <c r="F30" s="49">
        <f t="shared" si="7"/>
        <v>2E-3</v>
      </c>
      <c r="K30" s="1">
        <v>25</v>
      </c>
      <c r="L30" s="1">
        <f t="shared" si="2"/>
        <v>-0.39528622170410677</v>
      </c>
      <c r="M30" s="122">
        <f t="shared" si="4"/>
        <v>-0.74999999999999978</v>
      </c>
      <c r="N30" s="1">
        <f t="shared" si="3"/>
        <v>0.60471377829589323</v>
      </c>
    </row>
    <row r="31" spans="1:14" x14ac:dyDescent="0.2">
      <c r="A31" s="123">
        <v>26</v>
      </c>
      <c r="B31" s="118">
        <f t="shared" si="5"/>
        <v>-2.0000000000000347E-3</v>
      </c>
      <c r="C31" s="123">
        <f t="shared" si="0"/>
        <v>0.99999600266932831</v>
      </c>
      <c r="D31" s="117">
        <f t="shared" si="6"/>
        <v>2E-3</v>
      </c>
      <c r="E31" s="124">
        <f t="shared" si="1"/>
        <v>3.9973306716900581E-6</v>
      </c>
      <c r="F31" s="49">
        <f t="shared" si="7"/>
        <v>2E-3</v>
      </c>
      <c r="K31" s="1">
        <v>26</v>
      </c>
      <c r="L31" s="1">
        <f t="shared" si="2"/>
        <v>-0.38708937872919369</v>
      </c>
      <c r="M31" s="122">
        <f t="shared" si="4"/>
        <v>-0.73999999999999977</v>
      </c>
      <c r="N31" s="1">
        <f t="shared" si="3"/>
        <v>0.61291062127080631</v>
      </c>
    </row>
    <row r="32" spans="1:14" x14ac:dyDescent="0.2">
      <c r="A32" s="123">
        <v>27</v>
      </c>
      <c r="B32" s="118">
        <f t="shared" si="5"/>
        <v>-3.4694469519536142E-17</v>
      </c>
      <c r="C32" s="123">
        <f t="shared" si="0"/>
        <v>1</v>
      </c>
      <c r="D32" s="117">
        <f t="shared" si="6"/>
        <v>2E-3</v>
      </c>
      <c r="E32" s="124">
        <f t="shared" si="1"/>
        <v>0</v>
      </c>
      <c r="F32" s="49">
        <f t="shared" si="7"/>
        <v>2E-3</v>
      </c>
      <c r="K32" s="1">
        <v>27</v>
      </c>
      <c r="L32" s="1">
        <f t="shared" si="2"/>
        <v>-0.37891256009935503</v>
      </c>
      <c r="M32" s="122">
        <f t="shared" si="4"/>
        <v>-0.72999999999999976</v>
      </c>
      <c r="N32" s="1">
        <f t="shared" si="3"/>
        <v>0.62108743990064497</v>
      </c>
    </row>
    <row r="33" spans="1:14" x14ac:dyDescent="0.2">
      <c r="A33" s="123">
        <v>28</v>
      </c>
      <c r="B33" s="118">
        <f t="shared" si="5"/>
        <v>1.9999999999999653E-3</v>
      </c>
      <c r="C33" s="123">
        <f t="shared" si="0"/>
        <v>0.99999599733600475</v>
      </c>
      <c r="D33" s="117">
        <f t="shared" si="6"/>
        <v>2E-3</v>
      </c>
      <c r="E33" s="124">
        <f t="shared" si="1"/>
        <v>4.0026639952506216E-6</v>
      </c>
      <c r="F33" s="49">
        <f t="shared" si="7"/>
        <v>2E-3</v>
      </c>
      <c r="K33" s="1">
        <v>28</v>
      </c>
      <c r="L33" s="1">
        <f t="shared" si="2"/>
        <v>-0.37075801657540541</v>
      </c>
      <c r="M33" s="122">
        <f t="shared" si="4"/>
        <v>-0.71999999999999975</v>
      </c>
      <c r="N33" s="1">
        <f t="shared" si="3"/>
        <v>0.62924198342459459</v>
      </c>
    </row>
    <row r="34" spans="1:14" x14ac:dyDescent="0.2">
      <c r="A34" s="123">
        <v>29</v>
      </c>
      <c r="B34" s="118">
        <f t="shared" si="5"/>
        <v>1.7999999999999653E-3</v>
      </c>
      <c r="C34" s="123">
        <f t="shared" si="0"/>
        <v>0.99999675805775257</v>
      </c>
      <c r="D34" s="117">
        <f t="shared" si="6"/>
        <v>-2.0000000000000001E-4</v>
      </c>
      <c r="E34" s="124">
        <f t="shared" si="1"/>
        <v>3.2419422474339044E-6</v>
      </c>
      <c r="F34" s="49">
        <f t="shared" si="7"/>
        <v>2.0000000000000009E-4</v>
      </c>
      <c r="K34" s="1">
        <v>29</v>
      </c>
      <c r="L34" s="1">
        <f t="shared" si="2"/>
        <v>-0.36262801255225352</v>
      </c>
      <c r="M34" s="122">
        <f t="shared" si="4"/>
        <v>-0.70999999999999974</v>
      </c>
      <c r="N34" s="1">
        <f t="shared" si="3"/>
        <v>0.63737198744774648</v>
      </c>
    </row>
    <row r="35" spans="1:14" x14ac:dyDescent="0.2">
      <c r="A35" s="123">
        <v>30</v>
      </c>
      <c r="B35" s="118">
        <f t="shared" si="5"/>
        <v>1.5999999999999652E-3</v>
      </c>
      <c r="C35" s="123">
        <f t="shared" si="0"/>
        <v>0.99999743863576052</v>
      </c>
      <c r="D35" s="117">
        <f t="shared" si="6"/>
        <v>-2.0000000000000001E-4</v>
      </c>
      <c r="E35" s="124">
        <f t="shared" si="1"/>
        <v>2.5613642394839431E-6</v>
      </c>
      <c r="F35" s="49">
        <f t="shared" si="7"/>
        <v>2.0000000000000009E-4</v>
      </c>
      <c r="K35" s="1">
        <v>30</v>
      </c>
      <c r="L35" s="1">
        <f t="shared" si="2"/>
        <v>-0.35452482591605805</v>
      </c>
      <c r="M35" s="122">
        <f t="shared" si="4"/>
        <v>-0.69999999999999973</v>
      </c>
      <c r="N35" s="1">
        <f t="shared" si="3"/>
        <v>0.64547517408394195</v>
      </c>
    </row>
    <row r="36" spans="1:14" x14ac:dyDescent="0.2">
      <c r="A36" s="123">
        <v>31</v>
      </c>
      <c r="B36" s="118">
        <f t="shared" si="5"/>
        <v>1.3999999999999651E-3</v>
      </c>
      <c r="C36" s="123">
        <f t="shared" si="0"/>
        <v>0.99999803908597429</v>
      </c>
      <c r="D36" s="117">
        <f t="shared" si="6"/>
        <v>-2.0000000000000001E-4</v>
      </c>
      <c r="E36" s="124">
        <f t="shared" si="1"/>
        <v>1.9609140257115243E-6</v>
      </c>
      <c r="F36" s="49">
        <f t="shared" si="7"/>
        <v>2.0000000000000009E-4</v>
      </c>
      <c r="K36" s="1">
        <v>31</v>
      </c>
      <c r="L36" s="1">
        <f t="shared" si="2"/>
        <v>-0.34645074789330854</v>
      </c>
      <c r="M36" s="122">
        <f t="shared" si="4"/>
        <v>-0.68999999999999972</v>
      </c>
      <c r="N36" s="1">
        <f t="shared" si="3"/>
        <v>0.65354925210669146</v>
      </c>
    </row>
    <row r="37" spans="1:14" x14ac:dyDescent="0.2">
      <c r="A37" s="123">
        <v>32</v>
      </c>
      <c r="B37" s="118">
        <f t="shared" si="5"/>
        <v>1.199999999999965E-3</v>
      </c>
      <c r="C37" s="123">
        <f t="shared" si="0"/>
        <v>0.99999855942434601</v>
      </c>
      <c r="D37" s="117">
        <f t="shared" si="6"/>
        <v>-2.0000000000000001E-4</v>
      </c>
      <c r="E37" s="124">
        <f t="shared" si="1"/>
        <v>1.4405756539881409E-6</v>
      </c>
      <c r="F37" s="49">
        <f t="shared" si="7"/>
        <v>2.0000000000000009E-4</v>
      </c>
      <c r="K37" s="1">
        <v>32</v>
      </c>
      <c r="L37" s="1">
        <f t="shared" si="2"/>
        <v>-0.33840808289160063</v>
      </c>
      <c r="M37" s="122">
        <f t="shared" si="4"/>
        <v>-0.67999999999999972</v>
      </c>
      <c r="N37" s="1">
        <f t="shared" si="3"/>
        <v>0.66159191710839937</v>
      </c>
    </row>
    <row r="38" spans="1:14" x14ac:dyDescent="0.2">
      <c r="A38" s="123">
        <v>33</v>
      </c>
      <c r="B38" s="118">
        <f t="shared" si="5"/>
        <v>9.9999999999996489E-4</v>
      </c>
      <c r="C38" s="123">
        <f t="shared" si="0"/>
        <v>0.99999899966683337</v>
      </c>
      <c r="D38" s="117">
        <f t="shared" si="6"/>
        <v>-2.0000000000000001E-4</v>
      </c>
      <c r="E38" s="124">
        <f t="shared" si="1"/>
        <v>1.0003331666341708E-6</v>
      </c>
      <c r="F38" s="49">
        <f t="shared" si="7"/>
        <v>2.0000000000000009E-4</v>
      </c>
      <c r="K38" s="1">
        <v>33</v>
      </c>
      <c r="L38" s="1">
        <f t="shared" si="2"/>
        <v>-0.33039914833187678</v>
      </c>
      <c r="M38" s="122">
        <f t="shared" si="4"/>
        <v>-0.66999999999999971</v>
      </c>
      <c r="N38" s="1">
        <f t="shared" si="3"/>
        <v>0.66960085166812322</v>
      </c>
    </row>
    <row r="39" spans="1:14" x14ac:dyDescent="0.2">
      <c r="A39" s="123">
        <v>34</v>
      </c>
      <c r="B39" s="118">
        <f t="shared" si="5"/>
        <v>7.9999999999996491E-4</v>
      </c>
      <c r="C39" s="123">
        <f t="shared" si="0"/>
        <v>0.99999935982940158</v>
      </c>
      <c r="D39" s="117">
        <f t="shared" si="6"/>
        <v>-2.0000000000000001E-4</v>
      </c>
      <c r="E39" s="124">
        <f t="shared" si="1"/>
        <v>6.401705984204753E-7</v>
      </c>
      <c r="F39" s="49">
        <f t="shared" si="7"/>
        <v>1.9999999999999998E-4</v>
      </c>
      <c r="K39" s="1">
        <v>34</v>
      </c>
      <c r="L39" s="1">
        <f t="shared" si="2"/>
        <v>-0.32242627447190331</v>
      </c>
      <c r="M39" s="122">
        <f t="shared" si="4"/>
        <v>-0.6599999999999997</v>
      </c>
      <c r="N39" s="1">
        <f t="shared" si="3"/>
        <v>0.67757372552809669</v>
      </c>
    </row>
    <row r="40" spans="1:14" x14ac:dyDescent="0.2">
      <c r="A40" s="123">
        <v>35</v>
      </c>
      <c r="B40" s="118">
        <f t="shared" si="5"/>
        <v>5.9999999999996493E-4</v>
      </c>
      <c r="C40" s="123">
        <f t="shared" si="0"/>
        <v>0.99999963992802154</v>
      </c>
      <c r="D40" s="117">
        <f t="shared" si="6"/>
        <v>-2.0000000000000001E-4</v>
      </c>
      <c r="E40" s="124">
        <f t="shared" si="1"/>
        <v>3.6007197845577821E-7</v>
      </c>
      <c r="F40" s="49">
        <f t="shared" si="7"/>
        <v>1.9999999999999998E-4</v>
      </c>
      <c r="K40" s="1">
        <v>35</v>
      </c>
      <c r="L40" s="1">
        <f t="shared" si="2"/>
        <v>-0.31449180422073053</v>
      </c>
      <c r="M40" s="122">
        <f t="shared" si="4"/>
        <v>-0.64999999999999969</v>
      </c>
      <c r="N40" s="1">
        <f t="shared" si="3"/>
        <v>0.68550819577926947</v>
      </c>
    </row>
    <row r="41" spans="1:14" x14ac:dyDescent="0.2">
      <c r="A41" s="123">
        <v>36</v>
      </c>
      <c r="B41" s="118">
        <f t="shared" si="5"/>
        <v>3.9999999999996495E-4</v>
      </c>
      <c r="C41" s="123">
        <f t="shared" si="0"/>
        <v>0.99999983997867115</v>
      </c>
      <c r="D41" s="117">
        <f t="shared" si="6"/>
        <v>-2.0000000000000001E-4</v>
      </c>
      <c r="E41" s="124">
        <f t="shared" si="1"/>
        <v>1.6002132885439835E-7</v>
      </c>
      <c r="F41" s="49">
        <f t="shared" si="7"/>
        <v>1.9999999999999998E-4</v>
      </c>
      <c r="K41" s="1">
        <v>36</v>
      </c>
      <c r="L41" s="1">
        <f t="shared" si="2"/>
        <v>-0.30659809294389773</v>
      </c>
      <c r="M41" s="122">
        <f t="shared" si="4"/>
        <v>-0.63999999999999968</v>
      </c>
      <c r="N41" s="1">
        <f t="shared" si="3"/>
        <v>0.69340190705610227</v>
      </c>
    </row>
    <row r="42" spans="1:14" x14ac:dyDescent="0.2">
      <c r="A42" s="123">
        <v>37</v>
      </c>
      <c r="B42" s="118">
        <f t="shared" si="5"/>
        <v>1.9999999999996494E-4</v>
      </c>
      <c r="C42" s="123">
        <f t="shared" si="0"/>
        <v>0.99999995999733349</v>
      </c>
      <c r="D42" s="117">
        <f t="shared" si="6"/>
        <v>-2.0000000000000001E-4</v>
      </c>
      <c r="E42" s="124">
        <f t="shared" si="1"/>
        <v>4.0002666512606311E-8</v>
      </c>
      <c r="F42" s="49">
        <f t="shared" si="7"/>
        <v>2.0000000000000001E-4</v>
      </c>
      <c r="K42" s="1">
        <v>37</v>
      </c>
      <c r="L42" s="1">
        <f t="shared" si="2"/>
        <v>-0.29874750825912755</v>
      </c>
      <c r="M42" s="122">
        <f t="shared" si="4"/>
        <v>-0.62999999999999967</v>
      </c>
      <c r="N42" s="1">
        <f t="shared" si="3"/>
        <v>0.70125249174087245</v>
      </c>
    </row>
    <row r="43" spans="1:14" x14ac:dyDescent="0.2">
      <c r="A43" s="123">
        <v>38</v>
      </c>
      <c r="B43" s="118">
        <f t="shared" si="5"/>
        <v>-3.5073940279906068E-17</v>
      </c>
      <c r="C43" s="123">
        <f t="shared" si="0"/>
        <v>1</v>
      </c>
      <c r="D43" s="117">
        <f t="shared" si="6"/>
        <v>-2.0000000000000001E-4</v>
      </c>
      <c r="E43" s="124">
        <f t="shared" si="1"/>
        <v>0</v>
      </c>
      <c r="F43" s="49">
        <f t="shared" si="7"/>
        <v>2.0000000000000001E-4</v>
      </c>
      <c r="K43" s="1">
        <v>38</v>
      </c>
      <c r="L43" s="1">
        <f t="shared" si="2"/>
        <v>-0.29094242982225071</v>
      </c>
      <c r="M43" s="122">
        <f t="shared" si="4"/>
        <v>-0.61999999999999966</v>
      </c>
      <c r="N43" s="1">
        <f t="shared" si="3"/>
        <v>0.70905757017774929</v>
      </c>
    </row>
    <row r="44" spans="1:14" x14ac:dyDescent="0.2">
      <c r="A44" s="123">
        <v>39</v>
      </c>
      <c r="B44" s="118">
        <f t="shared" si="5"/>
        <v>-2.0000000000003508E-4</v>
      </c>
      <c r="C44" s="123">
        <f t="shared" si="0"/>
        <v>0.99999996000266678</v>
      </c>
      <c r="D44" s="117">
        <f t="shared" si="6"/>
        <v>-2.0000000000000001E-4</v>
      </c>
      <c r="E44" s="124">
        <f t="shared" si="1"/>
        <v>3.9997333223240616E-8</v>
      </c>
      <c r="F44" s="49">
        <f t="shared" si="7"/>
        <v>2.0000000000000001E-4</v>
      </c>
      <c r="K44" s="1">
        <v>39</v>
      </c>
      <c r="L44" s="1">
        <f t="shared" si="2"/>
        <v>-0.28318524910309484</v>
      </c>
      <c r="M44" s="122">
        <f t="shared" si="4"/>
        <v>-0.60999999999999965</v>
      </c>
      <c r="N44" s="1">
        <f t="shared" si="3"/>
        <v>0.71681475089690516</v>
      </c>
    </row>
    <row r="45" spans="1:14" x14ac:dyDescent="0.2">
      <c r="A45" s="123">
        <v>40</v>
      </c>
      <c r="B45" s="118">
        <f t="shared" si="5"/>
        <v>-2.0000000000003508E-4</v>
      </c>
      <c r="C45" s="123">
        <f t="shared" si="0"/>
        <v>0.99999996000266678</v>
      </c>
      <c r="D45" s="117">
        <f t="shared" si="6"/>
        <v>-2.0000000000000001E-4</v>
      </c>
      <c r="E45" s="124">
        <f t="shared" si="1"/>
        <v>3.9997333223240616E-8</v>
      </c>
      <c r="F45" s="49">
        <f t="shared" si="7"/>
        <v>0</v>
      </c>
      <c r="K45" s="1">
        <v>40</v>
      </c>
      <c r="L45" s="1">
        <f t="shared" si="2"/>
        <v>-0.27547836915107138</v>
      </c>
      <c r="M45" s="122">
        <f t="shared" si="4"/>
        <v>-0.59999999999999964</v>
      </c>
      <c r="N45" s="1">
        <f t="shared" si="3"/>
        <v>0.72452163084892862</v>
      </c>
    </row>
    <row r="46" spans="1:14" x14ac:dyDescent="0.2">
      <c r="A46" s="123">
        <v>41</v>
      </c>
      <c r="B46" s="118">
        <f t="shared" si="5"/>
        <v>-2.0000000000003508E-4</v>
      </c>
      <c r="C46" s="123">
        <f t="shared" si="0"/>
        <v>0.99999996000266678</v>
      </c>
      <c r="D46" s="117">
        <f t="shared" si="6"/>
        <v>-2.0000000000000001E-4</v>
      </c>
      <c r="E46" s="124">
        <f t="shared" si="1"/>
        <v>3.9997333223240616E-8</v>
      </c>
      <c r="F46" s="49">
        <f t="shared" si="7"/>
        <v>0</v>
      </c>
      <c r="K46" s="1">
        <v>41</v>
      </c>
      <c r="L46" s="1">
        <f t="shared" si="2"/>
        <v>-0.26782420435017851</v>
      </c>
      <c r="M46" s="122">
        <f t="shared" si="4"/>
        <v>-0.58999999999999964</v>
      </c>
      <c r="N46" s="1">
        <f t="shared" si="3"/>
        <v>0.73217579564982149</v>
      </c>
    </row>
    <row r="47" spans="1:14" x14ac:dyDescent="0.2">
      <c r="A47" s="123">
        <v>42</v>
      </c>
      <c r="B47" s="118">
        <f t="shared" si="5"/>
        <v>-2.0000000000003508E-4</v>
      </c>
      <c r="C47" s="123">
        <f t="shared" si="0"/>
        <v>0.99999996000266678</v>
      </c>
      <c r="D47" s="117">
        <f t="shared" si="6"/>
        <v>-2.0000000000000001E-4</v>
      </c>
      <c r="E47" s="124">
        <f t="shared" si="1"/>
        <v>3.9997333223240616E-8</v>
      </c>
      <c r="F47" s="49">
        <f t="shared" si="7"/>
        <v>0</v>
      </c>
      <c r="K47" s="1">
        <v>42</v>
      </c>
      <c r="L47" s="1">
        <f t="shared" si="2"/>
        <v>-0.26022518016313623</v>
      </c>
      <c r="M47" s="122">
        <f t="shared" si="4"/>
        <v>-0.57999999999999963</v>
      </c>
      <c r="N47" s="1">
        <f t="shared" si="3"/>
        <v>0.73977481983686377</v>
      </c>
    </row>
    <row r="48" spans="1:14" x14ac:dyDescent="0.2">
      <c r="A48" s="123">
        <v>43</v>
      </c>
      <c r="B48" s="118">
        <f t="shared" si="5"/>
        <v>-2.0000000000003508E-4</v>
      </c>
      <c r="C48" s="123">
        <f t="shared" si="0"/>
        <v>0.99999996000266678</v>
      </c>
      <c r="D48" s="117">
        <f t="shared" si="6"/>
        <v>-2.0000000000000001E-4</v>
      </c>
      <c r="E48" s="124">
        <f t="shared" si="1"/>
        <v>3.9997333223240616E-8</v>
      </c>
      <c r="F48" s="49">
        <f t="shared" si="7"/>
        <v>0</v>
      </c>
      <c r="K48" s="1">
        <v>43</v>
      </c>
      <c r="L48" s="1">
        <f t="shared" si="2"/>
        <v>-0.25268373286437174</v>
      </c>
      <c r="M48" s="122">
        <f t="shared" si="4"/>
        <v>-0.56999999999999962</v>
      </c>
      <c r="N48" s="1">
        <f t="shared" si="3"/>
        <v>0.74731626713562826</v>
      </c>
    </row>
    <row r="49" spans="1:14" x14ac:dyDescent="0.2">
      <c r="A49" s="123">
        <v>44</v>
      </c>
      <c r="B49" s="118">
        <f t="shared" si="5"/>
        <v>-2.0000000000003508E-4</v>
      </c>
      <c r="C49" s="123">
        <f t="shared" si="0"/>
        <v>0.99999996000266678</v>
      </c>
      <c r="D49" s="117">
        <f t="shared" si="6"/>
        <v>-2.0000000000000001E-4</v>
      </c>
      <c r="E49" s="124">
        <f t="shared" si="1"/>
        <v>3.9997333223240616E-8</v>
      </c>
      <c r="F49" s="49">
        <f t="shared" si="7"/>
        <v>0</v>
      </c>
      <c r="K49" s="1">
        <v>44</v>
      </c>
      <c r="L49" s="1">
        <f t="shared" si="2"/>
        <v>-0.24520230926154729</v>
      </c>
      <c r="M49" s="122">
        <f t="shared" si="4"/>
        <v>-0.55999999999999961</v>
      </c>
      <c r="N49" s="1">
        <f t="shared" si="3"/>
        <v>0.75479769073845271</v>
      </c>
    </row>
    <row r="50" spans="1:14" x14ac:dyDescent="0.2">
      <c r="A50" s="123">
        <v>45</v>
      </c>
      <c r="B50" s="118">
        <f t="shared" si="5"/>
        <v>-2.0000000000003508E-4</v>
      </c>
      <c r="C50" s="123">
        <f t="shared" si="0"/>
        <v>0.99999996000266678</v>
      </c>
      <c r="D50" s="117">
        <f t="shared" si="6"/>
        <v>-2.0000000000000001E-4</v>
      </c>
      <c r="E50" s="124">
        <f t="shared" si="1"/>
        <v>3.9997333223240616E-8</v>
      </c>
      <c r="F50" s="49">
        <f t="shared" si="7"/>
        <v>0</v>
      </c>
      <c r="K50" s="1">
        <v>45</v>
      </c>
      <c r="L50" s="1">
        <f t="shared" si="2"/>
        <v>-0.23778336640533149</v>
      </c>
      <c r="M50" s="122">
        <f t="shared" si="4"/>
        <v>-0.5499999999999996</v>
      </c>
      <c r="N50" s="1">
        <f t="shared" si="3"/>
        <v>0.76221663359466851</v>
      </c>
    </row>
    <row r="51" spans="1:14" x14ac:dyDescent="0.2">
      <c r="A51" s="123">
        <v>46</v>
      </c>
      <c r="B51" s="118">
        <f t="shared" si="5"/>
        <v>-2.0000000000003508E-4</v>
      </c>
      <c r="C51" s="123">
        <f t="shared" si="0"/>
        <v>0.99999996000266678</v>
      </c>
      <c r="D51" s="117">
        <f t="shared" si="6"/>
        <v>-2.0000000000000001E-4</v>
      </c>
      <c r="E51" s="124">
        <f t="shared" si="1"/>
        <v>3.9997333223240616E-8</v>
      </c>
      <c r="F51" s="49">
        <f t="shared" si="7"/>
        <v>0</v>
      </c>
      <c r="K51" s="1">
        <v>46</v>
      </c>
      <c r="L51" s="1">
        <f t="shared" si="2"/>
        <v>-0.23042937128711005</v>
      </c>
      <c r="M51" s="122">
        <f t="shared" si="4"/>
        <v>-0.53999999999999959</v>
      </c>
      <c r="N51" s="1">
        <f t="shared" si="3"/>
        <v>0.76957062871288995</v>
      </c>
    </row>
    <row r="52" spans="1:14" x14ac:dyDescent="0.2">
      <c r="A52" s="123">
        <v>47</v>
      </c>
      <c r="B52" s="118">
        <f t="shared" si="5"/>
        <v>-2.0000000000003508E-4</v>
      </c>
      <c r="C52" s="123">
        <f t="shared" si="0"/>
        <v>0.99999996000266678</v>
      </c>
      <c r="D52" s="117">
        <f t="shared" si="6"/>
        <v>-2.0000000000000001E-4</v>
      </c>
      <c r="E52" s="124">
        <f t="shared" si="1"/>
        <v>3.9997333223240616E-8</v>
      </c>
      <c r="F52" s="49">
        <f t="shared" si="7"/>
        <v>0</v>
      </c>
      <c r="K52" s="1">
        <v>47</v>
      </c>
      <c r="L52" s="1">
        <f t="shared" si="2"/>
        <v>-0.22314280052430668</v>
      </c>
      <c r="M52" s="122">
        <f t="shared" si="4"/>
        <v>-0.52999999999999958</v>
      </c>
      <c r="N52" s="1">
        <f t="shared" si="3"/>
        <v>0.77685719947569332</v>
      </c>
    </row>
    <row r="53" spans="1:14" x14ac:dyDescent="0.2">
      <c r="A53" s="123">
        <v>48</v>
      </c>
      <c r="B53" s="118">
        <f t="shared" si="5"/>
        <v>-2.0000000000003508E-4</v>
      </c>
      <c r="C53" s="123">
        <f t="shared" si="0"/>
        <v>0.99999996000266678</v>
      </c>
      <c r="D53" s="117">
        <f t="shared" si="6"/>
        <v>-2.0000000000000001E-4</v>
      </c>
      <c r="E53" s="124">
        <f t="shared" si="1"/>
        <v>3.9997333223240616E-8</v>
      </c>
      <c r="F53" s="49">
        <f t="shared" si="7"/>
        <v>0</v>
      </c>
      <c r="K53" s="1">
        <v>48</v>
      </c>
      <c r="L53" s="1">
        <f t="shared" si="2"/>
        <v>-0.21592614003299504</v>
      </c>
      <c r="M53" s="122">
        <f t="shared" si="4"/>
        <v>-0.51999999999999957</v>
      </c>
      <c r="N53" s="1">
        <f t="shared" si="3"/>
        <v>0.78407385996700496</v>
      </c>
    </row>
    <row r="54" spans="1:14" x14ac:dyDescent="0.2">
      <c r="A54" s="123">
        <v>49</v>
      </c>
      <c r="B54" s="118">
        <f t="shared" si="5"/>
        <v>-2.0000000000003508E-4</v>
      </c>
      <c r="C54" s="123">
        <f t="shared" si="0"/>
        <v>0.99999996000266678</v>
      </c>
      <c r="D54" s="117">
        <f t="shared" si="6"/>
        <v>-2.0000000000000001E-4</v>
      </c>
      <c r="E54" s="124">
        <f t="shared" si="1"/>
        <v>3.9997333223240616E-8</v>
      </c>
      <c r="F54" s="49">
        <f t="shared" si="7"/>
        <v>0</v>
      </c>
      <c r="K54" s="1">
        <v>49</v>
      </c>
      <c r="L54" s="1">
        <f t="shared" si="2"/>
        <v>-0.20878188468747372</v>
      </c>
      <c r="M54" s="122">
        <f t="shared" si="4"/>
        <v>-0.50999999999999956</v>
      </c>
      <c r="N54" s="1">
        <f t="shared" si="3"/>
        <v>0.79121811531252628</v>
      </c>
    </row>
    <row r="55" spans="1:14" x14ac:dyDescent="0.2">
      <c r="A55" s="123">
        <v>50</v>
      </c>
      <c r="B55" s="118">
        <f t="shared" si="5"/>
        <v>-2.0000000000003508E-4</v>
      </c>
      <c r="C55" s="123">
        <f t="shared" si="0"/>
        <v>0.99999996000266678</v>
      </c>
      <c r="D55" s="117">
        <f t="shared" si="6"/>
        <v>-2.0000000000000001E-4</v>
      </c>
      <c r="E55" s="124">
        <f t="shared" si="1"/>
        <v>3.9997333223240616E-8</v>
      </c>
      <c r="F55" s="49">
        <f t="shared" si="7"/>
        <v>0</v>
      </c>
      <c r="K55" s="1">
        <v>50</v>
      </c>
      <c r="L55" s="1">
        <f t="shared" si="2"/>
        <v>-0.20171253796645761</v>
      </c>
      <c r="M55" s="122">
        <f t="shared" si="4"/>
        <v>-0.49999999999999956</v>
      </c>
      <c r="N55" s="1">
        <f t="shared" si="3"/>
        <v>0.79828746203354239</v>
      </c>
    </row>
    <row r="56" spans="1:14" x14ac:dyDescent="0.2">
      <c r="A56" s="123">
        <v>51</v>
      </c>
      <c r="B56" s="118">
        <f t="shared" si="5"/>
        <v>-2.0000000000003508E-4</v>
      </c>
      <c r="C56" s="123">
        <f t="shared" si="0"/>
        <v>0.99999996000266678</v>
      </c>
      <c r="D56" s="117">
        <f t="shared" si="6"/>
        <v>-2.0000000000000001E-4</v>
      </c>
      <c r="E56" s="124">
        <f t="shared" si="1"/>
        <v>3.9997333223240616E-8</v>
      </c>
      <c r="F56" s="49">
        <f t="shared" si="7"/>
        <v>0</v>
      </c>
      <c r="K56" s="1">
        <v>51</v>
      </c>
      <c r="L56" s="1">
        <f t="shared" si="2"/>
        <v>-0.19472061158553666</v>
      </c>
      <c r="M56" s="122">
        <f t="shared" si="4"/>
        <v>-0.48999999999999955</v>
      </c>
      <c r="N56" s="1">
        <f t="shared" si="3"/>
        <v>0.80527938841446334</v>
      </c>
    </row>
    <row r="57" spans="1:14" x14ac:dyDescent="0.2">
      <c r="A57" s="123">
        <v>52</v>
      </c>
      <c r="B57" s="118">
        <f t="shared" si="5"/>
        <v>-2.0000000000003508E-4</v>
      </c>
      <c r="C57" s="123">
        <f t="shared" si="0"/>
        <v>0.99999996000266678</v>
      </c>
      <c r="D57" s="117">
        <f t="shared" si="6"/>
        <v>-2.0000000000000001E-4</v>
      </c>
      <c r="E57" s="124">
        <f t="shared" si="1"/>
        <v>3.9997333223240616E-8</v>
      </c>
      <c r="F57" s="49">
        <f t="shared" si="7"/>
        <v>0</v>
      </c>
      <c r="K57" s="1">
        <v>52</v>
      </c>
      <c r="L57" s="1">
        <f t="shared" si="2"/>
        <v>-0.18780862511555596</v>
      </c>
      <c r="M57" s="122">
        <f t="shared" si="4"/>
        <v>-0.47999999999999954</v>
      </c>
      <c r="N57" s="1">
        <f t="shared" si="3"/>
        <v>0.81219137488444404</v>
      </c>
    </row>
    <row r="58" spans="1:14" x14ac:dyDescent="0.2">
      <c r="A58" s="123">
        <v>53</v>
      </c>
      <c r="B58" s="118">
        <f t="shared" si="5"/>
        <v>-2.0000000000003508E-4</v>
      </c>
      <c r="C58" s="123">
        <f t="shared" si="0"/>
        <v>0.99999996000266678</v>
      </c>
      <c r="D58" s="117">
        <f t="shared" si="6"/>
        <v>-2.0000000000000001E-4</v>
      </c>
      <c r="E58" s="124">
        <f t="shared" si="1"/>
        <v>3.9997333223240616E-8</v>
      </c>
      <c r="F58" s="49">
        <f t="shared" si="7"/>
        <v>0</v>
      </c>
      <c r="K58" s="1">
        <v>53</v>
      </c>
      <c r="L58" s="1">
        <f t="shared" si="2"/>
        <v>-0.18097910558654329</v>
      </c>
      <c r="M58" s="122">
        <f t="shared" si="4"/>
        <v>-0.46999999999999953</v>
      </c>
      <c r="N58" s="1">
        <f t="shared" si="3"/>
        <v>0.81902089441345671</v>
      </c>
    </row>
    <row r="59" spans="1:14" x14ac:dyDescent="0.2">
      <c r="A59" s="123">
        <v>54</v>
      </c>
      <c r="B59" s="118">
        <f t="shared" si="5"/>
        <v>-2.0000000000003508E-4</v>
      </c>
      <c r="C59" s="123">
        <f t="shared" si="0"/>
        <v>0.99999996000266678</v>
      </c>
      <c r="D59" s="117">
        <f t="shared" si="6"/>
        <v>-2.0000000000000001E-4</v>
      </c>
      <c r="E59" s="124">
        <f t="shared" si="1"/>
        <v>3.9997333223240616E-8</v>
      </c>
      <c r="F59" s="49">
        <f t="shared" si="7"/>
        <v>0</v>
      </c>
      <c r="K59" s="1">
        <v>54</v>
      </c>
      <c r="L59" s="1">
        <f t="shared" si="2"/>
        <v>-0.17423458707681772</v>
      </c>
      <c r="M59" s="122">
        <f t="shared" si="4"/>
        <v>-0.45999999999999952</v>
      </c>
      <c r="N59" s="1">
        <f t="shared" si="3"/>
        <v>0.82576541292318228</v>
      </c>
    </row>
    <row r="60" spans="1:14" x14ac:dyDescent="0.2">
      <c r="A60" s="123">
        <v>55</v>
      </c>
      <c r="B60" s="118">
        <f t="shared" si="5"/>
        <v>-2.0000000000003508E-4</v>
      </c>
      <c r="C60" s="123">
        <f t="shared" si="0"/>
        <v>0.99999996000266678</v>
      </c>
      <c r="D60" s="117">
        <f t="shared" si="6"/>
        <v>-2.0000000000000001E-4</v>
      </c>
      <c r="E60" s="124">
        <f t="shared" si="1"/>
        <v>3.9997333223240616E-8</v>
      </c>
      <c r="F60" s="49">
        <f t="shared" si="7"/>
        <v>0</v>
      </c>
      <c r="K60" s="1">
        <v>55</v>
      </c>
      <c r="L60" s="1">
        <f t="shared" si="2"/>
        <v>-0.16757761028689788</v>
      </c>
      <c r="M60" s="122">
        <f t="shared" si="4"/>
        <v>-0.44999999999999951</v>
      </c>
      <c r="N60" s="1">
        <f t="shared" si="3"/>
        <v>0.83242238971310212</v>
      </c>
    </row>
    <row r="61" spans="1:14" x14ac:dyDescent="0.2">
      <c r="A61" s="123">
        <v>56</v>
      </c>
      <c r="B61" s="118">
        <f t="shared" si="5"/>
        <v>-2.0000000000003508E-4</v>
      </c>
      <c r="C61" s="123">
        <f t="shared" si="0"/>
        <v>0.99999996000266678</v>
      </c>
      <c r="D61" s="117">
        <f t="shared" si="6"/>
        <v>-2.0000000000000001E-4</v>
      </c>
      <c r="E61" s="124">
        <f t="shared" si="1"/>
        <v>3.9997333223240616E-8</v>
      </c>
      <c r="F61" s="49">
        <f t="shared" si="7"/>
        <v>0</v>
      </c>
      <c r="K61" s="1">
        <v>56</v>
      </c>
      <c r="L61" s="1">
        <f t="shared" si="2"/>
        <v>-0.16101072209781908</v>
      </c>
      <c r="M61" s="122">
        <f t="shared" si="4"/>
        <v>-0.4399999999999995</v>
      </c>
      <c r="N61" s="1">
        <f t="shared" si="3"/>
        <v>0.83898927790218092</v>
      </c>
    </row>
    <row r="62" spans="1:14" x14ac:dyDescent="0.2">
      <c r="A62" s="123">
        <v>57</v>
      </c>
      <c r="B62" s="118">
        <f t="shared" si="5"/>
        <v>-2.0000000000003508E-4</v>
      </c>
      <c r="C62" s="123">
        <f t="shared" si="0"/>
        <v>0.99999996000266678</v>
      </c>
      <c r="D62" s="117">
        <f t="shared" si="6"/>
        <v>-2.0000000000000001E-4</v>
      </c>
      <c r="E62" s="124">
        <f t="shared" si="1"/>
        <v>3.9997333223240616E-8</v>
      </c>
      <c r="F62" s="49">
        <f t="shared" si="7"/>
        <v>0</v>
      </c>
      <c r="K62" s="1">
        <v>57</v>
      </c>
      <c r="L62" s="1">
        <f t="shared" si="2"/>
        <v>-0.15453647511346458</v>
      </c>
      <c r="M62" s="122">
        <f t="shared" si="4"/>
        <v>-0.42999999999999949</v>
      </c>
      <c r="N62" s="1">
        <f t="shared" si="3"/>
        <v>0.84546352488653542</v>
      </c>
    </row>
    <row r="63" spans="1:14" x14ac:dyDescent="0.2">
      <c r="A63" s="123">
        <v>58</v>
      </c>
      <c r="B63" s="118">
        <f t="shared" si="5"/>
        <v>-2.0000000000003508E-4</v>
      </c>
      <c r="C63" s="123">
        <f t="shared" si="0"/>
        <v>0.99999996000266678</v>
      </c>
      <c r="D63" s="117">
        <f t="shared" si="6"/>
        <v>-2.0000000000000001E-4</v>
      </c>
      <c r="E63" s="124">
        <f t="shared" si="1"/>
        <v>3.9997333223240616E-8</v>
      </c>
      <c r="F63" s="49">
        <f t="shared" si="7"/>
        <v>0</v>
      </c>
      <c r="K63" s="1">
        <v>58</v>
      </c>
      <c r="L63" s="1">
        <f t="shared" si="2"/>
        <v>-0.14815742718649916</v>
      </c>
      <c r="M63" s="122">
        <f t="shared" si="4"/>
        <v>-0.41999999999999948</v>
      </c>
      <c r="N63" s="1">
        <f t="shared" si="3"/>
        <v>0.85184257281350084</v>
      </c>
    </row>
    <row r="64" spans="1:14" x14ac:dyDescent="0.2">
      <c r="A64" s="123">
        <v>59</v>
      </c>
      <c r="B64" s="118">
        <f t="shared" si="5"/>
        <v>-2.0000000000003508E-4</v>
      </c>
      <c r="C64" s="123">
        <f t="shared" si="0"/>
        <v>0.99999996000266678</v>
      </c>
      <c r="D64" s="117">
        <f t="shared" si="6"/>
        <v>-2.0000000000000001E-4</v>
      </c>
      <c r="E64" s="124">
        <f t="shared" si="1"/>
        <v>3.9997333223240616E-8</v>
      </c>
      <c r="F64" s="49">
        <f t="shared" si="7"/>
        <v>0</v>
      </c>
      <c r="K64" s="1">
        <v>59</v>
      </c>
      <c r="L64" s="1">
        <f t="shared" si="2"/>
        <v>-0.14187614092749601</v>
      </c>
      <c r="M64" s="122">
        <f t="shared" si="4"/>
        <v>-0.40999999999999948</v>
      </c>
      <c r="N64" s="1">
        <f t="shared" si="3"/>
        <v>0.85812385907250399</v>
      </c>
    </row>
    <row r="65" spans="1:14" x14ac:dyDescent="0.2">
      <c r="A65" s="123">
        <v>60</v>
      </c>
      <c r="B65" s="118">
        <f t="shared" si="5"/>
        <v>-2.0000000000003508E-4</v>
      </c>
      <c r="C65" s="123">
        <f t="shared" si="0"/>
        <v>0.99999996000266678</v>
      </c>
      <c r="D65" s="117">
        <f t="shared" si="6"/>
        <v>-2.0000000000000001E-4</v>
      </c>
      <c r="E65" s="124">
        <f t="shared" si="1"/>
        <v>3.9997333223240616E-8</v>
      </c>
      <c r="F65" s="49">
        <f t="shared" si="7"/>
        <v>0</v>
      </c>
      <c r="K65" s="1">
        <v>60</v>
      </c>
      <c r="L65" s="1">
        <f t="shared" si="2"/>
        <v>-0.13569518319682361</v>
      </c>
      <c r="M65" s="122">
        <f t="shared" si="4"/>
        <v>-0.39999999999999947</v>
      </c>
      <c r="N65" s="1">
        <f t="shared" si="3"/>
        <v>0.86430481680317639</v>
      </c>
    </row>
    <row r="66" spans="1:14" x14ac:dyDescent="0.2">
      <c r="A66" s="123">
        <v>61</v>
      </c>
      <c r="B66" s="118">
        <f t="shared" si="5"/>
        <v>-2.0000000000003508E-4</v>
      </c>
      <c r="C66" s="123">
        <f t="shared" si="0"/>
        <v>0.99999996000266678</v>
      </c>
      <c r="D66" s="117">
        <f t="shared" si="6"/>
        <v>-2.0000000000000001E-4</v>
      </c>
      <c r="E66" s="124">
        <f t="shared" si="1"/>
        <v>3.9997333223240616E-8</v>
      </c>
      <c r="F66" s="49">
        <f t="shared" si="7"/>
        <v>0</v>
      </c>
      <c r="K66" s="1">
        <v>61</v>
      </c>
      <c r="L66" s="1">
        <f t="shared" si="2"/>
        <v>-0.12961712457886654</v>
      </c>
      <c r="M66" s="122">
        <f t="shared" si="4"/>
        <v>-0.38999999999999946</v>
      </c>
      <c r="N66" s="1">
        <f t="shared" si="3"/>
        <v>0.87038287542113346</v>
      </c>
    </row>
    <row r="67" spans="1:14" x14ac:dyDescent="0.2">
      <c r="A67" s="123">
        <v>62</v>
      </c>
      <c r="B67" s="118">
        <f t="shared" si="5"/>
        <v>-2.0000000000003508E-4</v>
      </c>
      <c r="C67" s="123">
        <f t="shared" si="0"/>
        <v>0.99999996000266678</v>
      </c>
      <c r="D67" s="117">
        <f t="shared" si="6"/>
        <v>-2.0000000000000001E-4</v>
      </c>
      <c r="E67" s="124">
        <f t="shared" si="1"/>
        <v>3.9997333223240616E-8</v>
      </c>
      <c r="F67" s="49">
        <f t="shared" si="7"/>
        <v>0</v>
      </c>
      <c r="K67" s="1">
        <v>62</v>
      </c>
      <c r="L67" s="1">
        <f t="shared" si="2"/>
        <v>-0.12364453883812354</v>
      </c>
      <c r="M67" s="122">
        <f t="shared" si="4"/>
        <v>-0.37999999999999945</v>
      </c>
      <c r="N67" s="1">
        <f t="shared" si="3"/>
        <v>0.87635546116187646</v>
      </c>
    </row>
    <row r="68" spans="1:14" x14ac:dyDescent="0.2">
      <c r="A68" s="123">
        <v>63</v>
      </c>
      <c r="B68" s="118">
        <f t="shared" si="5"/>
        <v>-2.0000000000003508E-4</v>
      </c>
      <c r="C68" s="123">
        <f t="shared" si="0"/>
        <v>0.99999996000266678</v>
      </c>
      <c r="D68" s="117">
        <f t="shared" si="6"/>
        <v>-2.0000000000000001E-4</v>
      </c>
      <c r="E68" s="124">
        <f t="shared" si="1"/>
        <v>3.9997333223240616E-8</v>
      </c>
      <c r="F68" s="49">
        <f t="shared" si="7"/>
        <v>0</v>
      </c>
      <c r="K68" s="1">
        <v>63</v>
      </c>
      <c r="L68" s="1">
        <f t="shared" si="2"/>
        <v>-0.11778000235674135</v>
      </c>
      <c r="M68" s="122">
        <f t="shared" si="4"/>
        <v>-0.36999999999999944</v>
      </c>
      <c r="N68" s="1">
        <f t="shared" si="3"/>
        <v>0.88221999764325865</v>
      </c>
    </row>
    <row r="69" spans="1:14" x14ac:dyDescent="0.2">
      <c r="A69" s="123">
        <v>64</v>
      </c>
      <c r="B69" s="118">
        <f t="shared" si="5"/>
        <v>-2.0000000000003508E-4</v>
      </c>
      <c r="C69" s="123">
        <f t="shared" si="0"/>
        <v>0.99999996000266678</v>
      </c>
      <c r="D69" s="117">
        <f t="shared" si="6"/>
        <v>-2.0000000000000001E-4</v>
      </c>
      <c r="E69" s="124">
        <f t="shared" si="1"/>
        <v>3.9997333223240616E-8</v>
      </c>
      <c r="F69" s="49">
        <f t="shared" si="7"/>
        <v>0</v>
      </c>
      <c r="K69" s="1">
        <v>64</v>
      </c>
      <c r="L69" s="1">
        <f t="shared" si="2"/>
        <v>-0.11202609355300996</v>
      </c>
      <c r="M69" s="122">
        <f t="shared" si="4"/>
        <v>-0.35999999999999943</v>
      </c>
      <c r="N69" s="1">
        <f t="shared" si="3"/>
        <v>0.88797390644699004</v>
      </c>
    </row>
    <row r="70" spans="1:14" x14ac:dyDescent="0.2">
      <c r="A70" s="123">
        <v>65</v>
      </c>
      <c r="B70" s="118">
        <f t="shared" si="5"/>
        <v>-2.0000000000003508E-4</v>
      </c>
      <c r="C70" s="123">
        <f t="shared" ref="C70:C133" si="8">(EXP(B70)-2-B70)^2</f>
        <v>0.99999996000266678</v>
      </c>
      <c r="D70" s="117">
        <f t="shared" si="6"/>
        <v>-2.0000000000000001E-4</v>
      </c>
      <c r="E70" s="124">
        <f t="shared" ref="E70:E133" si="9">$R$5-C70</f>
        <v>3.9997333223240616E-8</v>
      </c>
      <c r="F70" s="49">
        <f t="shared" si="7"/>
        <v>0</v>
      </c>
      <c r="K70" s="1">
        <v>65</v>
      </c>
      <c r="L70" s="1">
        <f t="shared" ref="L70:L133" si="10">N70-$R$5</f>
        <v>-0.10638539228034438</v>
      </c>
      <c r="M70" s="122">
        <f t="shared" si="4"/>
        <v>-0.34999999999999942</v>
      </c>
      <c r="N70" s="1">
        <f t="shared" ref="N70:N133" si="11">(EXP(M70)-2-M70)^2</f>
        <v>0.89361460771965562</v>
      </c>
    </row>
    <row r="71" spans="1:14" x14ac:dyDescent="0.2">
      <c r="A71" s="123">
        <v>66</v>
      </c>
      <c r="B71" s="118">
        <f t="shared" si="5"/>
        <v>-2.0000000000003508E-4</v>
      </c>
      <c r="C71" s="123">
        <f t="shared" si="8"/>
        <v>0.99999996000266678</v>
      </c>
      <c r="D71" s="117">
        <f t="shared" si="6"/>
        <v>-2.0000000000000001E-4</v>
      </c>
      <c r="E71" s="124">
        <f t="shared" si="9"/>
        <v>3.9997333223240616E-8</v>
      </c>
      <c r="F71" s="49">
        <f t="shared" si="7"/>
        <v>0</v>
      </c>
      <c r="K71" s="1">
        <v>66</v>
      </c>
      <c r="L71" s="1">
        <f t="shared" si="10"/>
        <v>-0.10086047920627406</v>
      </c>
      <c r="M71" s="122">
        <f t="shared" ref="M71:M134" si="12">M70+$O$5</f>
        <v>-0.33999999999999941</v>
      </c>
      <c r="N71" s="1">
        <f t="shared" si="11"/>
        <v>0.89913952079372594</v>
      </c>
    </row>
    <row r="72" spans="1:14" x14ac:dyDescent="0.2">
      <c r="A72" s="123">
        <v>67</v>
      </c>
      <c r="B72" s="118">
        <f t="shared" ref="B72:B135" si="13">IF(C71&lt;=C70,
         IF(ABS(D71)&lt;=($G$5/$I$5),
                         B71,
                         B71+D72),
         B71+D72)</f>
        <v>-2.0000000000003508E-4</v>
      </c>
      <c r="C72" s="123">
        <f t="shared" si="8"/>
        <v>0.99999996000266678</v>
      </c>
      <c r="D72" s="117">
        <f t="shared" ref="D72:D135" si="14">IF(C71&lt;=C70,
         IF(ABS(D71)&lt;=($G$5/$I$5),
                         D71,
                         -D71/$I$5),
         D71)</f>
        <v>-2.0000000000000001E-4</v>
      </c>
      <c r="E72" s="124">
        <f t="shared" si="9"/>
        <v>3.9997333223240616E-8</v>
      </c>
      <c r="F72" s="49">
        <f t="shared" si="7"/>
        <v>0</v>
      </c>
      <c r="K72" s="1">
        <v>67</v>
      </c>
      <c r="L72" s="1">
        <f t="shared" si="10"/>
        <v>-9.5453935170933701E-2</v>
      </c>
      <c r="M72" s="122">
        <f t="shared" si="12"/>
        <v>-0.3299999999999994</v>
      </c>
      <c r="N72" s="1">
        <f t="shared" si="11"/>
        <v>0.9045460648290663</v>
      </c>
    </row>
    <row r="73" spans="1:14" x14ac:dyDescent="0.2">
      <c r="A73" s="123">
        <v>68</v>
      </c>
      <c r="B73" s="118">
        <f t="shared" si="13"/>
        <v>-2.0000000000003508E-4</v>
      </c>
      <c r="C73" s="123">
        <f t="shared" si="8"/>
        <v>0.99999996000266678</v>
      </c>
      <c r="D73" s="117">
        <f t="shared" si="14"/>
        <v>-2.0000000000000001E-4</v>
      </c>
      <c r="E73" s="124">
        <f t="shared" si="9"/>
        <v>3.9997333223240616E-8</v>
      </c>
      <c r="F73" s="49">
        <f t="shared" ref="F73:F136" si="15">ABS(B73-B72)</f>
        <v>0</v>
      </c>
      <c r="K73" s="1">
        <v>68</v>
      </c>
      <c r="L73" s="1">
        <f t="shared" si="10"/>
        <v>-9.0168340524552693E-2</v>
      </c>
      <c r="M73" s="122">
        <f t="shared" si="12"/>
        <v>-0.3199999999999994</v>
      </c>
      <c r="N73" s="1">
        <f t="shared" si="11"/>
        <v>0.90983165947544731</v>
      </c>
    </row>
    <row r="74" spans="1:14" x14ac:dyDescent="0.2">
      <c r="A74" s="123">
        <v>69</v>
      </c>
      <c r="B74" s="118">
        <f t="shared" si="13"/>
        <v>-2.0000000000003508E-4</v>
      </c>
      <c r="C74" s="123">
        <f t="shared" si="8"/>
        <v>0.99999996000266678</v>
      </c>
      <c r="D74" s="117">
        <f t="shared" si="14"/>
        <v>-2.0000000000000001E-4</v>
      </c>
      <c r="E74" s="124">
        <f t="shared" si="9"/>
        <v>3.9997333223240616E-8</v>
      </c>
      <c r="F74" s="49">
        <f t="shared" si="15"/>
        <v>0</v>
      </c>
      <c r="K74" s="1">
        <v>69</v>
      </c>
      <c r="L74" s="1">
        <f t="shared" si="10"/>
        <v>-8.5006274443423013E-2</v>
      </c>
      <c r="M74" s="122">
        <f t="shared" si="12"/>
        <v>-0.30999999999999939</v>
      </c>
      <c r="N74" s="1">
        <f t="shared" si="11"/>
        <v>0.91499372555657699</v>
      </c>
    </row>
    <row r="75" spans="1:14" x14ac:dyDescent="0.2">
      <c r="A75" s="123">
        <v>70</v>
      </c>
      <c r="B75" s="118">
        <f t="shared" si="13"/>
        <v>-2.0000000000003508E-4</v>
      </c>
      <c r="C75" s="123">
        <f t="shared" si="8"/>
        <v>0.99999996000266678</v>
      </c>
      <c r="D75" s="117">
        <f t="shared" si="14"/>
        <v>-2.0000000000000001E-4</v>
      </c>
      <c r="E75" s="124">
        <f t="shared" si="9"/>
        <v>3.9997333223240616E-8</v>
      </c>
      <c r="F75" s="49">
        <f t="shared" si="15"/>
        <v>0</v>
      </c>
      <c r="K75" s="1">
        <v>70</v>
      </c>
      <c r="L75" s="1">
        <f t="shared" si="10"/>
        <v>-7.9970314223813732E-2</v>
      </c>
      <c r="M75" s="122">
        <f t="shared" si="12"/>
        <v>-0.29999999999999938</v>
      </c>
      <c r="N75" s="1">
        <f t="shared" si="11"/>
        <v>0.92002968577618627</v>
      </c>
    </row>
    <row r="76" spans="1:14" x14ac:dyDescent="0.2">
      <c r="A76" s="123">
        <v>71</v>
      </c>
      <c r="B76" s="118">
        <f t="shared" si="13"/>
        <v>-2.0000000000003508E-4</v>
      </c>
      <c r="C76" s="123">
        <f t="shared" si="8"/>
        <v>0.99999996000266678</v>
      </c>
      <c r="D76" s="117">
        <f t="shared" si="14"/>
        <v>-2.0000000000000001E-4</v>
      </c>
      <c r="E76" s="124">
        <f t="shared" si="9"/>
        <v>3.9997333223240616E-8</v>
      </c>
      <c r="F76" s="49">
        <f t="shared" si="15"/>
        <v>0</v>
      </c>
      <c r="K76" s="1">
        <v>71</v>
      </c>
      <c r="L76" s="1">
        <f t="shared" si="10"/>
        <v>-7.5063034553290553E-2</v>
      </c>
      <c r="M76" s="122">
        <f t="shared" si="12"/>
        <v>-0.28999999999999937</v>
      </c>
      <c r="N76" s="1">
        <f t="shared" si="11"/>
        <v>0.92493696544670945</v>
      </c>
    </row>
    <row r="77" spans="1:14" x14ac:dyDescent="0.2">
      <c r="A77" s="123">
        <v>72</v>
      </c>
      <c r="B77" s="118">
        <f t="shared" si="13"/>
        <v>-2.0000000000003508E-4</v>
      </c>
      <c r="C77" s="123">
        <f t="shared" si="8"/>
        <v>0.99999996000266678</v>
      </c>
      <c r="D77" s="117">
        <f t="shared" si="14"/>
        <v>-2.0000000000000001E-4</v>
      </c>
      <c r="E77" s="124">
        <f t="shared" si="9"/>
        <v>3.9997333223240616E-8</v>
      </c>
      <c r="F77" s="49">
        <f t="shared" si="15"/>
        <v>0</v>
      </c>
      <c r="K77" s="1">
        <v>72</v>
      </c>
      <c r="L77" s="1">
        <f t="shared" si="10"/>
        <v>-7.0287006758880111E-2</v>
      </c>
      <c r="M77" s="122">
        <f t="shared" si="12"/>
        <v>-0.27999999999999936</v>
      </c>
      <c r="N77" s="1">
        <f t="shared" si="11"/>
        <v>0.92971299324111989</v>
      </c>
    </row>
    <row r="78" spans="1:14" x14ac:dyDescent="0.2">
      <c r="A78" s="123">
        <v>73</v>
      </c>
      <c r="B78" s="118">
        <f t="shared" si="13"/>
        <v>-2.0000000000003508E-4</v>
      </c>
      <c r="C78" s="123">
        <f t="shared" si="8"/>
        <v>0.99999996000266678</v>
      </c>
      <c r="D78" s="117">
        <f t="shared" si="14"/>
        <v>-2.0000000000000001E-4</v>
      </c>
      <c r="E78" s="124">
        <f t="shared" si="9"/>
        <v>3.9997333223240616E-8</v>
      </c>
      <c r="F78" s="49">
        <f t="shared" si="15"/>
        <v>0</v>
      </c>
      <c r="K78" s="1">
        <v>73</v>
      </c>
      <c r="L78" s="1">
        <f t="shared" si="10"/>
        <v>-6.5644798031522122E-2</v>
      </c>
      <c r="M78" s="122">
        <f t="shared" si="12"/>
        <v>-0.26999999999999935</v>
      </c>
      <c r="N78" s="1">
        <f t="shared" si="11"/>
        <v>0.93435520196847788</v>
      </c>
    </row>
    <row r="79" spans="1:14" x14ac:dyDescent="0.2">
      <c r="A79" s="123">
        <v>74</v>
      </c>
      <c r="B79" s="118">
        <f t="shared" si="13"/>
        <v>-2.0000000000003508E-4</v>
      </c>
      <c r="C79" s="123">
        <f t="shared" si="8"/>
        <v>0.99999996000266678</v>
      </c>
      <c r="D79" s="117">
        <f t="shared" si="14"/>
        <v>-2.0000000000000001E-4</v>
      </c>
      <c r="E79" s="124">
        <f t="shared" si="9"/>
        <v>3.9997333223240616E-8</v>
      </c>
      <c r="F79" s="49">
        <f t="shared" si="15"/>
        <v>0</v>
      </c>
      <c r="K79" s="1">
        <v>74</v>
      </c>
      <c r="L79" s="1">
        <f t="shared" si="10"/>
        <v>-6.1138970626216316E-2</v>
      </c>
      <c r="M79" s="122">
        <f t="shared" si="12"/>
        <v>-0.25999999999999934</v>
      </c>
      <c r="N79" s="1">
        <f t="shared" si="11"/>
        <v>0.93886102937378368</v>
      </c>
    </row>
    <row r="80" spans="1:14" x14ac:dyDescent="0.2">
      <c r="A80" s="123">
        <v>75</v>
      </c>
      <c r="B80" s="118">
        <f t="shared" si="13"/>
        <v>-2.0000000000003508E-4</v>
      </c>
      <c r="C80" s="123">
        <f t="shared" si="8"/>
        <v>0.99999996000266678</v>
      </c>
      <c r="D80" s="117">
        <f t="shared" si="14"/>
        <v>-2.0000000000000001E-4</v>
      </c>
      <c r="E80" s="124">
        <f t="shared" si="9"/>
        <v>3.9997333223240616E-8</v>
      </c>
      <c r="F80" s="49">
        <f t="shared" si="15"/>
        <v>0</v>
      </c>
      <c r="K80" s="1">
        <v>75</v>
      </c>
      <c r="L80" s="1">
        <f t="shared" si="10"/>
        <v>-5.6772081037283373E-2</v>
      </c>
      <c r="M80" s="122">
        <f t="shared" si="12"/>
        <v>-0.24999999999999933</v>
      </c>
      <c r="N80" s="1">
        <f t="shared" si="11"/>
        <v>0.94322791896271663</v>
      </c>
    </row>
    <row r="81" spans="1:14" x14ac:dyDescent="0.2">
      <c r="A81" s="123">
        <v>76</v>
      </c>
      <c r="B81" s="118">
        <f t="shared" si="13"/>
        <v>-2.0000000000003508E-4</v>
      </c>
      <c r="C81" s="123">
        <f t="shared" si="8"/>
        <v>0.99999996000266678</v>
      </c>
      <c r="D81" s="117">
        <f t="shared" si="14"/>
        <v>-2.0000000000000001E-4</v>
      </c>
      <c r="E81" s="124">
        <f t="shared" si="9"/>
        <v>3.9997333223240616E-8</v>
      </c>
      <c r="F81" s="49">
        <f t="shared" si="15"/>
        <v>0</v>
      </c>
      <c r="K81" s="1">
        <v>76</v>
      </c>
      <c r="L81" s="1">
        <f t="shared" si="10"/>
        <v>-5.2546679148126607E-2</v>
      </c>
      <c r="M81" s="122">
        <f t="shared" si="12"/>
        <v>-0.23999999999999932</v>
      </c>
      <c r="N81" s="1">
        <f t="shared" si="11"/>
        <v>0.94745332085187339</v>
      </c>
    </row>
    <row r="82" spans="1:14" x14ac:dyDescent="0.2">
      <c r="A82" s="123">
        <v>77</v>
      </c>
      <c r="B82" s="118">
        <f t="shared" si="13"/>
        <v>-2.0000000000003508E-4</v>
      </c>
      <c r="C82" s="123">
        <f t="shared" si="8"/>
        <v>0.99999996000266678</v>
      </c>
      <c r="D82" s="117">
        <f t="shared" si="14"/>
        <v>-2.0000000000000001E-4</v>
      </c>
      <c r="E82" s="124">
        <f t="shared" si="9"/>
        <v>3.9997333223240616E-8</v>
      </c>
      <c r="F82" s="49">
        <f t="shared" si="15"/>
        <v>0</v>
      </c>
      <c r="K82" s="1">
        <v>77</v>
      </c>
      <c r="L82" s="1">
        <f t="shared" si="10"/>
        <v>-4.8465307354876419E-2</v>
      </c>
      <c r="M82" s="122">
        <f t="shared" si="12"/>
        <v>-0.22999999999999932</v>
      </c>
      <c r="N82" s="1">
        <f t="shared" si="11"/>
        <v>0.95153469264512358</v>
      </c>
    </row>
    <row r="83" spans="1:14" x14ac:dyDescent="0.2">
      <c r="A83" s="123">
        <v>78</v>
      </c>
      <c r="B83" s="118">
        <f t="shared" si="13"/>
        <v>-2.0000000000003508E-4</v>
      </c>
      <c r="C83" s="123">
        <f t="shared" si="8"/>
        <v>0.99999996000266678</v>
      </c>
      <c r="D83" s="117">
        <f t="shared" si="14"/>
        <v>-2.0000000000000001E-4</v>
      </c>
      <c r="E83" s="124">
        <f t="shared" si="9"/>
        <v>3.9997333223240616E-8</v>
      </c>
      <c r="F83" s="49">
        <f t="shared" si="15"/>
        <v>0</v>
      </c>
      <c r="K83" s="1">
        <v>78</v>
      </c>
      <c r="L83" s="1">
        <f t="shared" si="10"/>
        <v>-4.453049966328182E-2</v>
      </c>
      <c r="M83" s="122">
        <f t="shared" si="12"/>
        <v>-0.21999999999999931</v>
      </c>
      <c r="N83" s="1">
        <f t="shared" si="11"/>
        <v>0.95546950033671818</v>
      </c>
    </row>
    <row r="84" spans="1:14" x14ac:dyDescent="0.2">
      <c r="A84" s="123">
        <v>79</v>
      </c>
      <c r="B84" s="118">
        <f t="shared" si="13"/>
        <v>-2.0000000000003508E-4</v>
      </c>
      <c r="C84" s="123">
        <f t="shared" si="8"/>
        <v>0.99999996000266678</v>
      </c>
      <c r="D84" s="117">
        <f t="shared" si="14"/>
        <v>-2.0000000000000001E-4</v>
      </c>
      <c r="E84" s="124">
        <f t="shared" si="9"/>
        <v>3.9997333223240616E-8</v>
      </c>
      <c r="F84" s="49">
        <f t="shared" si="15"/>
        <v>0</v>
      </c>
      <c r="K84" s="1">
        <v>79</v>
      </c>
      <c r="L84" s="1">
        <f t="shared" si="10"/>
        <v>-4.0744780758212973E-2</v>
      </c>
      <c r="M84" s="122">
        <f t="shared" si="12"/>
        <v>-0.2099999999999993</v>
      </c>
      <c r="N84" s="1">
        <f t="shared" si="11"/>
        <v>0.95925521924178703</v>
      </c>
    </row>
    <row r="85" spans="1:14" x14ac:dyDescent="0.2">
      <c r="A85" s="123">
        <v>80</v>
      </c>
      <c r="B85" s="118">
        <f t="shared" si="13"/>
        <v>-2.0000000000003508E-4</v>
      </c>
      <c r="C85" s="123">
        <f t="shared" si="8"/>
        <v>0.99999996000266678</v>
      </c>
      <c r="D85" s="117">
        <f t="shared" si="14"/>
        <v>-2.0000000000000001E-4</v>
      </c>
      <c r="E85" s="124">
        <f t="shared" si="9"/>
        <v>3.9997333223240616E-8</v>
      </c>
      <c r="F85" s="49">
        <f t="shared" si="15"/>
        <v>0</v>
      </c>
      <c r="K85" s="1">
        <v>80</v>
      </c>
      <c r="L85" s="1">
        <f t="shared" si="10"/>
        <v>-3.7110665045095415E-2</v>
      </c>
      <c r="M85" s="122">
        <f t="shared" si="12"/>
        <v>-0.19999999999999929</v>
      </c>
      <c r="N85" s="1">
        <f t="shared" si="11"/>
        <v>0.96288933495490459</v>
      </c>
    </row>
    <row r="86" spans="1:14" x14ac:dyDescent="0.2">
      <c r="A86" s="123">
        <v>81</v>
      </c>
      <c r="B86" s="118">
        <f t="shared" si="13"/>
        <v>-2.0000000000003508E-4</v>
      </c>
      <c r="C86" s="123">
        <f t="shared" si="8"/>
        <v>0.99999996000266678</v>
      </c>
      <c r="D86" s="117">
        <f t="shared" si="14"/>
        <v>-2.0000000000000001E-4</v>
      </c>
      <c r="E86" s="124">
        <f t="shared" si="9"/>
        <v>3.9997333223240616E-8</v>
      </c>
      <c r="F86" s="49">
        <f t="shared" si="15"/>
        <v>0</v>
      </c>
      <c r="K86" s="1">
        <v>81</v>
      </c>
      <c r="L86" s="1">
        <f t="shared" si="10"/>
        <v>-3.3630655662615805E-2</v>
      </c>
      <c r="M86" s="122">
        <f t="shared" si="12"/>
        <v>-0.18999999999999928</v>
      </c>
      <c r="N86" s="1">
        <f t="shared" si="11"/>
        <v>0.9663693443373842</v>
      </c>
    </row>
    <row r="87" spans="1:14" x14ac:dyDescent="0.2">
      <c r="A87" s="123">
        <v>82</v>
      </c>
      <c r="B87" s="118">
        <f t="shared" si="13"/>
        <v>-2.0000000000003508E-4</v>
      </c>
      <c r="C87" s="123">
        <f t="shared" si="8"/>
        <v>0.99999996000266678</v>
      </c>
      <c r="D87" s="117">
        <f t="shared" si="14"/>
        <v>-2.0000000000000001E-4</v>
      </c>
      <c r="E87" s="124">
        <f t="shared" si="9"/>
        <v>3.9997333223240616E-8</v>
      </c>
      <c r="F87" s="49">
        <f t="shared" si="15"/>
        <v>0</v>
      </c>
      <c r="K87" s="1">
        <v>82</v>
      </c>
      <c r="L87" s="1">
        <f t="shared" si="10"/>
        <v>-3.030724346599889E-2</v>
      </c>
      <c r="M87" s="122">
        <f t="shared" si="12"/>
        <v>-0.17999999999999927</v>
      </c>
      <c r="N87" s="1">
        <f t="shared" si="11"/>
        <v>0.96969275653400111</v>
      </c>
    </row>
    <row r="88" spans="1:14" x14ac:dyDescent="0.2">
      <c r="A88" s="123">
        <v>83</v>
      </c>
      <c r="B88" s="118">
        <f t="shared" si="13"/>
        <v>-2.0000000000003508E-4</v>
      </c>
      <c r="C88" s="123">
        <f t="shared" si="8"/>
        <v>0.99999996000266678</v>
      </c>
      <c r="D88" s="117">
        <f t="shared" si="14"/>
        <v>-2.0000000000000001E-4</v>
      </c>
      <c r="E88" s="124">
        <f t="shared" si="9"/>
        <v>3.9997333223240616E-8</v>
      </c>
      <c r="F88" s="49">
        <f t="shared" si="15"/>
        <v>0</v>
      </c>
      <c r="K88" s="1">
        <v>83</v>
      </c>
      <c r="L88" s="1">
        <f t="shared" si="10"/>
        <v>-2.7142905980154231E-2</v>
      </c>
      <c r="M88" s="122">
        <f t="shared" si="12"/>
        <v>-0.16999999999999926</v>
      </c>
      <c r="N88" s="1">
        <f t="shared" si="11"/>
        <v>0.97285709401984577</v>
      </c>
    </row>
    <row r="89" spans="1:14" x14ac:dyDescent="0.2">
      <c r="A89" s="123">
        <v>84</v>
      </c>
      <c r="B89" s="118">
        <f t="shared" si="13"/>
        <v>-2.0000000000003508E-4</v>
      </c>
      <c r="C89" s="123">
        <f t="shared" si="8"/>
        <v>0.99999996000266678</v>
      </c>
      <c r="D89" s="117">
        <f t="shared" si="14"/>
        <v>-2.0000000000000001E-4</v>
      </c>
      <c r="E89" s="124">
        <f t="shared" si="9"/>
        <v>3.9997333223240616E-8</v>
      </c>
      <c r="F89" s="49">
        <f t="shared" si="15"/>
        <v>0</v>
      </c>
      <c r="K89" s="1">
        <v>84</v>
      </c>
      <c r="L89" s="1">
        <f t="shared" si="10"/>
        <v>-2.4140106321966615E-2</v>
      </c>
      <c r="M89" s="122">
        <f t="shared" si="12"/>
        <v>-0.15999999999999925</v>
      </c>
      <c r="N89" s="1">
        <f t="shared" si="11"/>
        <v>0.97585989367803339</v>
      </c>
    </row>
    <row r="90" spans="1:14" x14ac:dyDescent="0.2">
      <c r="A90" s="123">
        <v>85</v>
      </c>
      <c r="B90" s="118">
        <f t="shared" si="13"/>
        <v>-2.0000000000003508E-4</v>
      </c>
      <c r="C90" s="123">
        <f t="shared" si="8"/>
        <v>0.99999996000266678</v>
      </c>
      <c r="D90" s="117">
        <f t="shared" si="14"/>
        <v>-2.0000000000000001E-4</v>
      </c>
      <c r="E90" s="124">
        <f t="shared" si="9"/>
        <v>3.9997333223240616E-8</v>
      </c>
      <c r="F90" s="49">
        <f t="shared" si="15"/>
        <v>0</v>
      </c>
      <c r="K90" s="1">
        <v>85</v>
      </c>
      <c r="L90" s="1">
        <f t="shared" si="10"/>
        <v>-2.1301292090995849E-2</v>
      </c>
      <c r="M90" s="122">
        <f t="shared" si="12"/>
        <v>-0.14999999999999925</v>
      </c>
      <c r="N90" s="1">
        <f t="shared" si="11"/>
        <v>0.97869870790900415</v>
      </c>
    </row>
    <row r="91" spans="1:14" x14ac:dyDescent="0.2">
      <c r="A91" s="123">
        <v>86</v>
      </c>
      <c r="B91" s="118">
        <f t="shared" si="13"/>
        <v>-2.0000000000003508E-4</v>
      </c>
      <c r="C91" s="123">
        <f t="shared" si="8"/>
        <v>0.99999996000266678</v>
      </c>
      <c r="D91" s="117">
        <f t="shared" si="14"/>
        <v>-2.0000000000000001E-4</v>
      </c>
      <c r="E91" s="124">
        <f t="shared" si="9"/>
        <v>3.9997333223240616E-8</v>
      </c>
      <c r="F91" s="49">
        <f t="shared" si="15"/>
        <v>0</v>
      </c>
      <c r="K91" s="1">
        <v>86</v>
      </c>
      <c r="L91" s="1">
        <f t="shared" si="10"/>
        <v>-1.8628894227832093E-2</v>
      </c>
      <c r="M91" s="122">
        <f t="shared" si="12"/>
        <v>-0.13999999999999924</v>
      </c>
      <c r="N91" s="1">
        <f t="shared" si="11"/>
        <v>0.98137110577216791</v>
      </c>
    </row>
    <row r="92" spans="1:14" x14ac:dyDescent="0.2">
      <c r="A92" s="123">
        <v>87</v>
      </c>
      <c r="B92" s="118">
        <f t="shared" si="13"/>
        <v>-2.0000000000003508E-4</v>
      </c>
      <c r="C92" s="123">
        <f t="shared" si="8"/>
        <v>0.99999996000266678</v>
      </c>
      <c r="D92" s="117">
        <f t="shared" si="14"/>
        <v>-2.0000000000000001E-4</v>
      </c>
      <c r="E92" s="124">
        <f t="shared" si="9"/>
        <v>3.9997333223240616E-8</v>
      </c>
      <c r="F92" s="49">
        <f t="shared" si="15"/>
        <v>0</v>
      </c>
      <c r="K92" s="1">
        <v>87</v>
      </c>
      <c r="L92" s="1">
        <f t="shared" si="10"/>
        <v>-1.6125325839332794E-2</v>
      </c>
      <c r="M92" s="122">
        <f t="shared" si="12"/>
        <v>-0.12999999999999923</v>
      </c>
      <c r="N92" s="1">
        <f t="shared" si="11"/>
        <v>0.98387467416066721</v>
      </c>
    </row>
    <row r="93" spans="1:14" x14ac:dyDescent="0.2">
      <c r="A93" s="123">
        <v>88</v>
      </c>
      <c r="B93" s="118">
        <f t="shared" si="13"/>
        <v>-2.0000000000003508E-4</v>
      </c>
      <c r="C93" s="123">
        <f t="shared" si="8"/>
        <v>0.99999996000266678</v>
      </c>
      <c r="D93" s="117">
        <f t="shared" si="14"/>
        <v>-2.0000000000000001E-4</v>
      </c>
      <c r="E93" s="124">
        <f t="shared" si="9"/>
        <v>3.9997333223240616E-8</v>
      </c>
      <c r="F93" s="49">
        <f t="shared" si="15"/>
        <v>0</v>
      </c>
      <c r="K93" s="1">
        <v>88</v>
      </c>
      <c r="L93" s="1">
        <f t="shared" si="10"/>
        <v>-1.3792980989958514E-2</v>
      </c>
      <c r="M93" s="122">
        <f t="shared" si="12"/>
        <v>-0.11999999999999923</v>
      </c>
      <c r="N93" s="1">
        <f t="shared" si="11"/>
        <v>0.98620701901004149</v>
      </c>
    </row>
    <row r="94" spans="1:14" x14ac:dyDescent="0.2">
      <c r="A94" s="123">
        <v>89</v>
      </c>
      <c r="B94" s="118">
        <f t="shared" si="13"/>
        <v>-2.0000000000003508E-4</v>
      </c>
      <c r="C94" s="123">
        <f t="shared" si="8"/>
        <v>0.99999996000266678</v>
      </c>
      <c r="D94" s="117">
        <f t="shared" si="14"/>
        <v>-2.0000000000000001E-4</v>
      </c>
      <c r="E94" s="124">
        <f t="shared" si="9"/>
        <v>3.9997333223240616E-8</v>
      </c>
      <c r="F94" s="49">
        <f t="shared" si="15"/>
        <v>0</v>
      </c>
      <c r="K94" s="1">
        <v>89</v>
      </c>
      <c r="L94" s="1">
        <f t="shared" si="10"/>
        <v>-1.163423345839798E-2</v>
      </c>
      <c r="M94" s="122">
        <f t="shared" si="12"/>
        <v>-0.10999999999999924</v>
      </c>
      <c r="N94" s="1">
        <f t="shared" si="11"/>
        <v>0.98836576654160202</v>
      </c>
    </row>
    <row r="95" spans="1:14" x14ac:dyDescent="0.2">
      <c r="A95" s="123">
        <v>90</v>
      </c>
      <c r="B95" s="118">
        <f t="shared" si="13"/>
        <v>-2.0000000000003508E-4</v>
      </c>
      <c r="C95" s="123">
        <f t="shared" si="8"/>
        <v>0.99999996000266678</v>
      </c>
      <c r="D95" s="117">
        <f t="shared" si="14"/>
        <v>-2.0000000000000001E-4</v>
      </c>
      <c r="E95" s="124">
        <f t="shared" si="9"/>
        <v>3.9997333223240616E-8</v>
      </c>
      <c r="F95" s="49">
        <f t="shared" si="15"/>
        <v>0</v>
      </c>
      <c r="K95" s="1">
        <v>90</v>
      </c>
      <c r="L95" s="1">
        <f t="shared" si="10"/>
        <v>-9.6514354586640927E-3</v>
      </c>
      <c r="M95" s="122">
        <f t="shared" si="12"/>
        <v>-9.9999999999999242E-2</v>
      </c>
      <c r="N95" s="1">
        <f t="shared" si="11"/>
        <v>0.99034856454133591</v>
      </c>
    </row>
    <row r="96" spans="1:14" x14ac:dyDescent="0.2">
      <c r="A96" s="123">
        <v>91</v>
      </c>
      <c r="B96" s="118">
        <f t="shared" si="13"/>
        <v>-2.0000000000003508E-4</v>
      </c>
      <c r="C96" s="123">
        <f t="shared" si="8"/>
        <v>0.99999996000266678</v>
      </c>
      <c r="D96" s="117">
        <f t="shared" si="14"/>
        <v>-2.0000000000000001E-4</v>
      </c>
      <c r="E96" s="124">
        <f t="shared" si="9"/>
        <v>3.9997333223240616E-8</v>
      </c>
      <c r="F96" s="49">
        <f t="shared" si="15"/>
        <v>0</v>
      </c>
      <c r="K96" s="1">
        <v>91</v>
      </c>
      <c r="L96" s="1">
        <f t="shared" si="10"/>
        <v>-7.8469163248193752E-3</v>
      </c>
      <c r="M96" s="122">
        <f t="shared" si="12"/>
        <v>-8.9999999999999247E-2</v>
      </c>
      <c r="N96" s="1">
        <f t="shared" si="11"/>
        <v>0.99215308367518062</v>
      </c>
    </row>
    <row r="97" spans="1:14" x14ac:dyDescent="0.2">
      <c r="A97" s="123">
        <v>92</v>
      </c>
      <c r="B97" s="118">
        <f t="shared" si="13"/>
        <v>-2.0000000000003508E-4</v>
      </c>
      <c r="C97" s="123">
        <f t="shared" si="8"/>
        <v>0.99999996000266678</v>
      </c>
      <c r="D97" s="117">
        <f t="shared" si="14"/>
        <v>-2.0000000000000001E-4</v>
      </c>
      <c r="E97" s="124">
        <f t="shared" si="9"/>
        <v>3.9997333223240616E-8</v>
      </c>
      <c r="F97" s="49">
        <f t="shared" si="15"/>
        <v>0</v>
      </c>
      <c r="K97" s="1">
        <v>92</v>
      </c>
      <c r="L97" s="1">
        <f t="shared" si="10"/>
        <v>-6.2229811584701977E-3</v>
      </c>
      <c r="M97" s="122">
        <f t="shared" si="12"/>
        <v>-7.9999999999999252E-2</v>
      </c>
      <c r="N97" s="1">
        <f t="shared" si="11"/>
        <v>0.9937770188415298</v>
      </c>
    </row>
    <row r="98" spans="1:14" x14ac:dyDescent="0.2">
      <c r="A98" s="123">
        <v>93</v>
      </c>
      <c r="B98" s="118">
        <f t="shared" si="13"/>
        <v>-2.0000000000003508E-4</v>
      </c>
      <c r="C98" s="123">
        <f t="shared" si="8"/>
        <v>0.99999996000266678</v>
      </c>
      <c r="D98" s="117">
        <f t="shared" si="14"/>
        <v>-2.0000000000000001E-4</v>
      </c>
      <c r="E98" s="124">
        <f t="shared" si="9"/>
        <v>3.9997333223240616E-8</v>
      </c>
      <c r="F98" s="49">
        <f t="shared" si="15"/>
        <v>0</v>
      </c>
      <c r="K98" s="1">
        <v>93</v>
      </c>
      <c r="L98" s="1">
        <f t="shared" si="10"/>
        <v>-4.7819094381543747E-3</v>
      </c>
      <c r="M98" s="122">
        <f t="shared" si="12"/>
        <v>-6.9999999999999257E-2</v>
      </c>
      <c r="N98" s="1">
        <f t="shared" si="11"/>
        <v>0.99521809056184563</v>
      </c>
    </row>
    <row r="99" spans="1:14" x14ac:dyDescent="0.2">
      <c r="A99" s="123">
        <v>94</v>
      </c>
      <c r="B99" s="118">
        <f t="shared" si="13"/>
        <v>-2.0000000000003508E-4</v>
      </c>
      <c r="C99" s="123">
        <f t="shared" si="8"/>
        <v>0.99999996000266678</v>
      </c>
      <c r="D99" s="117">
        <f t="shared" si="14"/>
        <v>-2.0000000000000001E-4</v>
      </c>
      <c r="E99" s="124">
        <f t="shared" si="9"/>
        <v>3.9997333223240616E-8</v>
      </c>
      <c r="F99" s="49">
        <f t="shared" si="15"/>
        <v>0</v>
      </c>
      <c r="K99" s="1">
        <v>94</v>
      </c>
      <c r="L99" s="1">
        <f t="shared" si="10"/>
        <v>-3.5259535897271821E-3</v>
      </c>
      <c r="M99" s="122">
        <f t="shared" si="12"/>
        <v>-5.9999999999999255E-2</v>
      </c>
      <c r="N99" s="1">
        <f t="shared" si="11"/>
        <v>0.99647404641027282</v>
      </c>
    </row>
    <row r="100" spans="1:14" x14ac:dyDescent="0.2">
      <c r="A100" s="123">
        <v>95</v>
      </c>
      <c r="B100" s="118">
        <f t="shared" si="13"/>
        <v>-2.0000000000003508E-4</v>
      </c>
      <c r="C100" s="123">
        <f t="shared" si="8"/>
        <v>0.99999996000266678</v>
      </c>
      <c r="D100" s="117">
        <f t="shared" si="14"/>
        <v>-2.0000000000000001E-4</v>
      </c>
      <c r="E100" s="124">
        <f t="shared" si="9"/>
        <v>3.9997333223240616E-8</v>
      </c>
      <c r="F100" s="49">
        <f t="shared" si="15"/>
        <v>0</v>
      </c>
      <c r="K100" s="1">
        <v>95</v>
      </c>
      <c r="L100" s="1">
        <f t="shared" si="10"/>
        <v>-2.4573375168249756E-3</v>
      </c>
      <c r="M100" s="122">
        <f t="shared" si="12"/>
        <v>-4.9999999999999253E-2</v>
      </c>
      <c r="N100" s="1">
        <f t="shared" si="11"/>
        <v>0.99754266248317502</v>
      </c>
    </row>
    <row r="101" spans="1:14" x14ac:dyDescent="0.2">
      <c r="A101" s="123">
        <v>96</v>
      </c>
      <c r="B101" s="118">
        <f t="shared" si="13"/>
        <v>-2.0000000000003508E-4</v>
      </c>
      <c r="C101" s="123">
        <f t="shared" si="8"/>
        <v>0.99999996000266678</v>
      </c>
      <c r="D101" s="117">
        <f t="shared" si="14"/>
        <v>-2.0000000000000001E-4</v>
      </c>
      <c r="E101" s="124">
        <f t="shared" si="9"/>
        <v>3.9997333223240616E-8</v>
      </c>
      <c r="F101" s="49">
        <f t="shared" si="15"/>
        <v>0</v>
      </c>
      <c r="K101" s="1">
        <v>96</v>
      </c>
      <c r="L101" s="1">
        <f t="shared" si="10"/>
        <v>-1.578255090471159E-3</v>
      </c>
      <c r="M101" s="122">
        <f t="shared" si="12"/>
        <v>-3.9999999999999251E-2</v>
      </c>
      <c r="N101" s="1">
        <f t="shared" si="11"/>
        <v>0.99842174490952884</v>
      </c>
    </row>
    <row r="102" spans="1:14" x14ac:dyDescent="0.2">
      <c r="A102" s="123">
        <v>97</v>
      </c>
      <c r="B102" s="118">
        <f t="shared" si="13"/>
        <v>-2.0000000000003508E-4</v>
      </c>
      <c r="C102" s="123">
        <f t="shared" si="8"/>
        <v>0.99999996000266678</v>
      </c>
      <c r="D102" s="117">
        <f t="shared" si="14"/>
        <v>-2.0000000000000001E-4</v>
      </c>
      <c r="E102" s="124">
        <f t="shared" si="9"/>
        <v>3.9997333223240616E-8</v>
      </c>
      <c r="F102" s="49">
        <f t="shared" si="15"/>
        <v>0</v>
      </c>
      <c r="K102" s="1">
        <v>97</v>
      </c>
      <c r="L102" s="1">
        <f t="shared" si="10"/>
        <v>-8.9086859687348419E-4</v>
      </c>
      <c r="M102" s="122">
        <f t="shared" si="12"/>
        <v>-2.9999999999999249E-2</v>
      </c>
      <c r="N102" s="1">
        <f t="shared" si="11"/>
        <v>0.99910913140312652</v>
      </c>
    </row>
    <row r="103" spans="1:14" x14ac:dyDescent="0.2">
      <c r="A103" s="123">
        <v>98</v>
      </c>
      <c r="B103" s="118">
        <f t="shared" si="13"/>
        <v>-2.0000000000003508E-4</v>
      </c>
      <c r="C103" s="123">
        <f t="shared" si="8"/>
        <v>0.99999996000266678</v>
      </c>
      <c r="D103" s="117">
        <f t="shared" si="14"/>
        <v>-2.0000000000000001E-4</v>
      </c>
      <c r="E103" s="124">
        <f t="shared" si="9"/>
        <v>3.9997333223240616E-8</v>
      </c>
      <c r="F103" s="49">
        <f t="shared" si="15"/>
        <v>0</v>
      </c>
      <c r="K103" s="1">
        <v>98</v>
      </c>
      <c r="L103" s="1">
        <f t="shared" si="10"/>
        <v>-3.9730714242769416E-4</v>
      </c>
      <c r="M103" s="122">
        <f t="shared" si="12"/>
        <v>-1.9999999999999248E-2</v>
      </c>
      <c r="N103" s="1">
        <f t="shared" si="11"/>
        <v>0.99960269285757231</v>
      </c>
    </row>
    <row r="104" spans="1:14" x14ac:dyDescent="0.2">
      <c r="A104" s="123">
        <v>99</v>
      </c>
      <c r="B104" s="118">
        <f t="shared" si="13"/>
        <v>-2.0000000000003508E-4</v>
      </c>
      <c r="C104" s="123">
        <f t="shared" si="8"/>
        <v>0.99999996000266678</v>
      </c>
      <c r="D104" s="117">
        <f t="shared" si="14"/>
        <v>-2.0000000000000001E-4</v>
      </c>
      <c r="E104" s="124">
        <f t="shared" si="9"/>
        <v>3.9997333223240616E-8</v>
      </c>
      <c r="F104" s="49">
        <f t="shared" si="15"/>
        <v>0</v>
      </c>
      <c r="K104" s="1">
        <v>99</v>
      </c>
      <c r="L104" s="1">
        <f t="shared" si="10"/>
        <v>-9.9665014933414398E-5</v>
      </c>
      <c r="M104" s="122">
        <f t="shared" si="12"/>
        <v>-9.9999999999992473E-3</v>
      </c>
      <c r="N104" s="1">
        <f t="shared" si="11"/>
        <v>0.99990033498506659</v>
      </c>
    </row>
    <row r="105" spans="1:14" x14ac:dyDescent="0.2">
      <c r="A105" s="123">
        <v>100</v>
      </c>
      <c r="B105" s="118">
        <f t="shared" si="13"/>
        <v>-2.0000000000003508E-4</v>
      </c>
      <c r="C105" s="123">
        <f t="shared" si="8"/>
        <v>0.99999996000266678</v>
      </c>
      <c r="D105" s="117">
        <f t="shared" si="14"/>
        <v>-2.0000000000000001E-4</v>
      </c>
      <c r="E105" s="124">
        <f t="shared" si="9"/>
        <v>3.9997333223240616E-8</v>
      </c>
      <c r="F105" s="49">
        <f t="shared" si="15"/>
        <v>0</v>
      </c>
      <c r="K105" s="1">
        <v>100</v>
      </c>
      <c r="L105" s="1">
        <f t="shared" si="10"/>
        <v>0</v>
      </c>
      <c r="M105" s="122">
        <f t="shared" si="12"/>
        <v>7.5286998857393428E-16</v>
      </c>
      <c r="N105" s="1">
        <f t="shared" si="11"/>
        <v>1</v>
      </c>
    </row>
    <row r="106" spans="1:14" x14ac:dyDescent="0.2">
      <c r="A106" s="123">
        <v>101</v>
      </c>
      <c r="B106" s="118">
        <f t="shared" si="13"/>
        <v>-2.0000000000003508E-4</v>
      </c>
      <c r="C106" s="123">
        <f t="shared" si="8"/>
        <v>0.99999996000266678</v>
      </c>
      <c r="D106" s="117">
        <f t="shared" si="14"/>
        <v>-2.0000000000000001E-4</v>
      </c>
      <c r="E106" s="124">
        <f t="shared" si="9"/>
        <v>3.9997333223240616E-8</v>
      </c>
      <c r="F106" s="49">
        <f t="shared" si="15"/>
        <v>0</v>
      </c>
      <c r="K106" s="1">
        <v>101</v>
      </c>
      <c r="L106" s="1">
        <f t="shared" si="10"/>
        <v>-1.0033165159972768E-4</v>
      </c>
      <c r="M106" s="122">
        <f t="shared" si="12"/>
        <v>1.0000000000000753E-2</v>
      </c>
      <c r="N106" s="1">
        <f t="shared" si="11"/>
        <v>0.99989966834840027</v>
      </c>
    </row>
    <row r="107" spans="1:14" x14ac:dyDescent="0.2">
      <c r="A107" s="123">
        <v>102</v>
      </c>
      <c r="B107" s="118">
        <f t="shared" si="13"/>
        <v>-2.0000000000003508E-4</v>
      </c>
      <c r="C107" s="123">
        <f t="shared" si="8"/>
        <v>0.99999996000266678</v>
      </c>
      <c r="D107" s="117">
        <f t="shared" si="14"/>
        <v>-2.0000000000000001E-4</v>
      </c>
      <c r="E107" s="124">
        <f t="shared" si="9"/>
        <v>3.9997333223240616E-8</v>
      </c>
      <c r="F107" s="49">
        <f t="shared" si="15"/>
        <v>0</v>
      </c>
      <c r="K107" s="1">
        <v>102</v>
      </c>
      <c r="L107" s="1">
        <f t="shared" si="10"/>
        <v>-4.0263951570540524E-4</v>
      </c>
      <c r="M107" s="122">
        <f t="shared" si="12"/>
        <v>2.0000000000000753E-2</v>
      </c>
      <c r="N107" s="1">
        <f t="shared" si="11"/>
        <v>0.99959736048429459</v>
      </c>
    </row>
    <row r="108" spans="1:14" x14ac:dyDescent="0.2">
      <c r="A108" s="123">
        <v>103</v>
      </c>
      <c r="B108" s="118">
        <f t="shared" si="13"/>
        <v>-2.0000000000003508E-4</v>
      </c>
      <c r="C108" s="123">
        <f t="shared" si="8"/>
        <v>0.99999996000266678</v>
      </c>
      <c r="D108" s="117">
        <f t="shared" si="14"/>
        <v>-2.0000000000000001E-4</v>
      </c>
      <c r="E108" s="124">
        <f t="shared" si="9"/>
        <v>3.9997333223240616E-8</v>
      </c>
      <c r="F108" s="49">
        <f t="shared" si="15"/>
        <v>0</v>
      </c>
      <c r="K108" s="1">
        <v>103</v>
      </c>
      <c r="L108" s="1">
        <f t="shared" si="10"/>
        <v>-9.0886130591871783E-4</v>
      </c>
      <c r="M108" s="122">
        <f t="shared" si="12"/>
        <v>3.0000000000000755E-2</v>
      </c>
      <c r="N108" s="1">
        <f t="shared" si="11"/>
        <v>0.99909113869408128</v>
      </c>
    </row>
    <row r="109" spans="1:14" x14ac:dyDescent="0.2">
      <c r="A109" s="123">
        <v>104</v>
      </c>
      <c r="B109" s="118">
        <f t="shared" si="13"/>
        <v>-2.0000000000003508E-4</v>
      </c>
      <c r="C109" s="123">
        <f t="shared" si="8"/>
        <v>0.99999996000266678</v>
      </c>
      <c r="D109" s="117">
        <f t="shared" si="14"/>
        <v>-2.0000000000000001E-4</v>
      </c>
      <c r="E109" s="124">
        <f t="shared" si="9"/>
        <v>3.9997333223240616E-8</v>
      </c>
      <c r="F109" s="49">
        <f t="shared" si="15"/>
        <v>0</v>
      </c>
      <c r="K109" s="1">
        <v>104</v>
      </c>
      <c r="L109" s="1">
        <f t="shared" si="10"/>
        <v>-1.6208910299857493E-3</v>
      </c>
      <c r="M109" s="122">
        <f t="shared" si="12"/>
        <v>4.0000000000000757E-2</v>
      </c>
      <c r="N109" s="1">
        <f t="shared" si="11"/>
        <v>0.99837910897001425</v>
      </c>
    </row>
    <row r="110" spans="1:14" x14ac:dyDescent="0.2">
      <c r="A110" s="123">
        <v>105</v>
      </c>
      <c r="B110" s="118">
        <f t="shared" si="13"/>
        <v>-2.0000000000003508E-4</v>
      </c>
      <c r="C110" s="123">
        <f t="shared" si="8"/>
        <v>0.99999996000266678</v>
      </c>
      <c r="D110" s="117">
        <f t="shared" si="14"/>
        <v>-2.0000000000000001E-4</v>
      </c>
      <c r="E110" s="124">
        <f t="shared" si="9"/>
        <v>3.9997333223240616E-8</v>
      </c>
      <c r="F110" s="49">
        <f t="shared" si="15"/>
        <v>0</v>
      </c>
      <c r="K110" s="1">
        <v>105</v>
      </c>
      <c r="L110" s="1">
        <f t="shared" si="10"/>
        <v>-2.5405770660510418E-3</v>
      </c>
      <c r="M110" s="122">
        <f t="shared" si="12"/>
        <v>5.0000000000000759E-2</v>
      </c>
      <c r="N110" s="1">
        <f t="shared" si="11"/>
        <v>0.99745942293394896</v>
      </c>
    </row>
    <row r="111" spans="1:14" x14ac:dyDescent="0.2">
      <c r="A111" s="123">
        <v>106</v>
      </c>
      <c r="B111" s="118">
        <f t="shared" si="13"/>
        <v>-2.0000000000003508E-4</v>
      </c>
      <c r="C111" s="123">
        <f t="shared" si="8"/>
        <v>0.99999996000266678</v>
      </c>
      <c r="D111" s="117">
        <f t="shared" si="14"/>
        <v>-2.0000000000000001E-4</v>
      </c>
      <c r="E111" s="124">
        <f t="shared" si="9"/>
        <v>3.9997333223240616E-8</v>
      </c>
      <c r="F111" s="49">
        <f t="shared" si="15"/>
        <v>0</v>
      </c>
      <c r="K111" s="1">
        <v>106</v>
      </c>
      <c r="L111" s="1">
        <f t="shared" si="10"/>
        <v>-3.6697201875063312E-3</v>
      </c>
      <c r="M111" s="122">
        <f t="shared" si="12"/>
        <v>6.0000000000000761E-2</v>
      </c>
      <c r="N111" s="1">
        <f t="shared" si="11"/>
        <v>0.99633027981249367</v>
      </c>
    </row>
    <row r="112" spans="1:14" x14ac:dyDescent="0.2">
      <c r="A112" s="123">
        <v>107</v>
      </c>
      <c r="B112" s="118">
        <f t="shared" si="13"/>
        <v>-2.0000000000003508E-4</v>
      </c>
      <c r="C112" s="123">
        <f t="shared" si="8"/>
        <v>0.99999996000266678</v>
      </c>
      <c r="D112" s="117">
        <f t="shared" si="14"/>
        <v>-2.0000000000000001E-4</v>
      </c>
      <c r="E112" s="124">
        <f t="shared" si="9"/>
        <v>3.9997333223240616E-8</v>
      </c>
      <c r="F112" s="49">
        <f t="shared" si="15"/>
        <v>0</v>
      </c>
      <c r="K112" s="1">
        <v>107</v>
      </c>
      <c r="L112" s="1">
        <f t="shared" si="10"/>
        <v>-5.0100715352289216E-3</v>
      </c>
      <c r="M112" s="122">
        <f t="shared" si="12"/>
        <v>7.0000000000000756E-2</v>
      </c>
      <c r="N112" s="1">
        <f t="shared" si="11"/>
        <v>0.99498992846477108</v>
      </c>
    </row>
    <row r="113" spans="1:14" x14ac:dyDescent="0.2">
      <c r="A113" s="123">
        <v>108</v>
      </c>
      <c r="B113" s="118">
        <f t="shared" si="13"/>
        <v>-2.0000000000003508E-4</v>
      </c>
      <c r="C113" s="123">
        <f t="shared" si="8"/>
        <v>0.99999996000266678</v>
      </c>
      <c r="D113" s="117">
        <f t="shared" si="14"/>
        <v>-2.0000000000000001E-4</v>
      </c>
      <c r="E113" s="124">
        <f t="shared" si="9"/>
        <v>3.9997333223240616E-8</v>
      </c>
      <c r="F113" s="49">
        <f t="shared" si="15"/>
        <v>0</v>
      </c>
      <c r="K113" s="1">
        <v>108</v>
      </c>
      <c r="L113" s="1">
        <f t="shared" si="10"/>
        <v>-6.56333053601732E-3</v>
      </c>
      <c r="M113" s="122">
        <f t="shared" si="12"/>
        <v>8.0000000000000751E-2</v>
      </c>
      <c r="N113" s="1">
        <f t="shared" si="11"/>
        <v>0.99343666946398268</v>
      </c>
    </row>
    <row r="114" spans="1:14" x14ac:dyDescent="0.2">
      <c r="A114" s="123">
        <v>109</v>
      </c>
      <c r="B114" s="118">
        <f t="shared" si="13"/>
        <v>-2.0000000000003508E-4</v>
      </c>
      <c r="C114" s="123">
        <f t="shared" si="8"/>
        <v>0.99999996000266678</v>
      </c>
      <c r="D114" s="117">
        <f t="shared" si="14"/>
        <v>-2.0000000000000001E-4</v>
      </c>
      <c r="E114" s="124">
        <f t="shared" si="9"/>
        <v>3.9997333223240616E-8</v>
      </c>
      <c r="F114" s="49">
        <f t="shared" si="15"/>
        <v>0</v>
      </c>
      <c r="K114" s="1">
        <v>109</v>
      </c>
      <c r="L114" s="1">
        <f t="shared" si="10"/>
        <v>-8.3311427659691351E-3</v>
      </c>
      <c r="M114" s="122">
        <f t="shared" si="12"/>
        <v>9.0000000000000746E-2</v>
      </c>
      <c r="N114" s="1">
        <f t="shared" si="11"/>
        <v>0.99166885723403086</v>
      </c>
    </row>
    <row r="115" spans="1:14" x14ac:dyDescent="0.2">
      <c r="A115" s="123">
        <v>110</v>
      </c>
      <c r="B115" s="118">
        <f t="shared" si="13"/>
        <v>-2.0000000000003508E-4</v>
      </c>
      <c r="C115" s="123">
        <f t="shared" si="8"/>
        <v>0.99999996000266678</v>
      </c>
      <c r="D115" s="117">
        <f t="shared" si="14"/>
        <v>-2.0000000000000001E-4</v>
      </c>
      <c r="E115" s="124">
        <f t="shared" si="9"/>
        <v>3.9997333223240616E-8</v>
      </c>
      <c r="F115" s="49">
        <f t="shared" si="15"/>
        <v>0</v>
      </c>
      <c r="K115" s="1">
        <v>110</v>
      </c>
      <c r="L115" s="1">
        <f t="shared" si="10"/>
        <v>-1.031509775755024E-2</v>
      </c>
      <c r="M115" s="122">
        <f t="shared" si="12"/>
        <v>0.10000000000000074</v>
      </c>
      <c r="N115" s="1">
        <f t="shared" si="11"/>
        <v>0.98968490224244976</v>
      </c>
    </row>
    <row r="116" spans="1:14" x14ac:dyDescent="0.2">
      <c r="A116" s="123">
        <v>111</v>
      </c>
      <c r="B116" s="118">
        <f t="shared" si="13"/>
        <v>-2.0000000000003508E-4</v>
      </c>
      <c r="C116" s="123">
        <f t="shared" si="8"/>
        <v>0.99999996000266678</v>
      </c>
      <c r="D116" s="117">
        <f t="shared" si="14"/>
        <v>-2.0000000000000001E-4</v>
      </c>
      <c r="E116" s="124">
        <f t="shared" si="9"/>
        <v>3.9997333223240616E-8</v>
      </c>
      <c r="F116" s="49">
        <f t="shared" si="15"/>
        <v>0</v>
      </c>
      <c r="K116" s="1">
        <v>111</v>
      </c>
      <c r="L116" s="1">
        <f t="shared" si="10"/>
        <v>-1.2516726749056239E-2</v>
      </c>
      <c r="M116" s="122">
        <f t="shared" si="12"/>
        <v>0.11000000000000074</v>
      </c>
      <c r="N116" s="1">
        <f t="shared" si="11"/>
        <v>0.98748327325094376</v>
      </c>
    </row>
    <row r="117" spans="1:14" x14ac:dyDescent="0.2">
      <c r="A117" s="123">
        <v>112</v>
      </c>
      <c r="B117" s="118">
        <f t="shared" si="13"/>
        <v>-2.0000000000003508E-4</v>
      </c>
      <c r="C117" s="123">
        <f t="shared" si="8"/>
        <v>0.99999996000266678</v>
      </c>
      <c r="D117" s="117">
        <f t="shared" si="14"/>
        <v>-2.0000000000000001E-4</v>
      </c>
      <c r="E117" s="124">
        <f t="shared" si="9"/>
        <v>3.9997333223240616E-8</v>
      </c>
      <c r="F117" s="49">
        <f t="shared" si="15"/>
        <v>0</v>
      </c>
      <c r="K117" s="1">
        <v>112</v>
      </c>
      <c r="L117" s="1">
        <f t="shared" si="10"/>
        <v>-1.4937500375148072E-2</v>
      </c>
      <c r="M117" s="122">
        <f t="shared" si="12"/>
        <v>0.12000000000000073</v>
      </c>
      <c r="N117" s="1">
        <f t="shared" si="11"/>
        <v>0.98506249962485193</v>
      </c>
    </row>
    <row r="118" spans="1:14" x14ac:dyDescent="0.2">
      <c r="A118" s="123">
        <v>113</v>
      </c>
      <c r="B118" s="118">
        <f t="shared" si="13"/>
        <v>-2.0000000000003508E-4</v>
      </c>
      <c r="C118" s="123">
        <f t="shared" si="8"/>
        <v>0.99999996000266678</v>
      </c>
      <c r="D118" s="117">
        <f t="shared" si="14"/>
        <v>-2.0000000000000001E-4</v>
      </c>
      <c r="E118" s="124">
        <f t="shared" si="9"/>
        <v>3.9997333223240616E-8</v>
      </c>
      <c r="F118" s="49">
        <f t="shared" si="15"/>
        <v>0</v>
      </c>
      <c r="K118" s="1">
        <v>113</v>
      </c>
      <c r="L118" s="1">
        <f t="shared" si="10"/>
        <v>-1.7578826297117267E-2</v>
      </c>
      <c r="M118" s="122">
        <f t="shared" si="12"/>
        <v>0.13000000000000073</v>
      </c>
      <c r="N118" s="1">
        <f t="shared" si="11"/>
        <v>0.98242117370288273</v>
      </c>
    </row>
    <row r="119" spans="1:14" x14ac:dyDescent="0.2">
      <c r="A119" s="123">
        <v>114</v>
      </c>
      <c r="B119" s="118">
        <f t="shared" si="13"/>
        <v>-2.0000000000003508E-4</v>
      </c>
      <c r="C119" s="123">
        <f t="shared" si="8"/>
        <v>0.99999996000266678</v>
      </c>
      <c r="D119" s="117">
        <f t="shared" si="14"/>
        <v>-2.0000000000000001E-4</v>
      </c>
      <c r="E119" s="124">
        <f t="shared" si="9"/>
        <v>3.9997333223240616E-8</v>
      </c>
      <c r="F119" s="49">
        <f t="shared" si="15"/>
        <v>0</v>
      </c>
      <c r="K119" s="1">
        <v>114</v>
      </c>
      <c r="L119" s="1">
        <f t="shared" si="10"/>
        <v>-2.0442046771495748E-2</v>
      </c>
      <c r="M119" s="122">
        <f t="shared" si="12"/>
        <v>0.14000000000000073</v>
      </c>
      <c r="N119" s="1">
        <f t="shared" si="11"/>
        <v>0.97955795322850425</v>
      </c>
    </row>
    <row r="120" spans="1:14" x14ac:dyDescent="0.2">
      <c r="A120" s="123">
        <v>115</v>
      </c>
      <c r="B120" s="118">
        <f t="shared" si="13"/>
        <v>-2.0000000000003508E-4</v>
      </c>
      <c r="C120" s="123">
        <f t="shared" si="8"/>
        <v>0.99999996000266678</v>
      </c>
      <c r="D120" s="117">
        <f t="shared" si="14"/>
        <v>-2.0000000000000001E-4</v>
      </c>
      <c r="E120" s="124">
        <f t="shared" si="9"/>
        <v>3.9997333223240616E-8</v>
      </c>
      <c r="F120" s="49">
        <f t="shared" si="15"/>
        <v>0</v>
      </c>
      <c r="K120" s="1">
        <v>115</v>
      </c>
      <c r="L120" s="1">
        <f t="shared" si="10"/>
        <v>-2.3528436155614396E-2</v>
      </c>
      <c r="M120" s="122">
        <f t="shared" si="12"/>
        <v>0.15000000000000074</v>
      </c>
      <c r="N120" s="1">
        <f t="shared" si="11"/>
        <v>0.9764715638443856</v>
      </c>
    </row>
    <row r="121" spans="1:14" x14ac:dyDescent="0.2">
      <c r="A121" s="123">
        <v>116</v>
      </c>
      <c r="B121" s="118">
        <f t="shared" si="13"/>
        <v>-2.0000000000003508E-4</v>
      </c>
      <c r="C121" s="123">
        <f t="shared" si="8"/>
        <v>0.99999996000266678</v>
      </c>
      <c r="D121" s="117">
        <f t="shared" si="14"/>
        <v>-2.0000000000000001E-4</v>
      </c>
      <c r="E121" s="124">
        <f t="shared" si="9"/>
        <v>3.9997333223240616E-8</v>
      </c>
      <c r="F121" s="49">
        <f t="shared" si="15"/>
        <v>0</v>
      </c>
      <c r="K121" s="1">
        <v>116</v>
      </c>
      <c r="L121" s="1">
        <f t="shared" si="10"/>
        <v>-2.683919834866344E-2</v>
      </c>
      <c r="M121" s="122">
        <f t="shared" si="12"/>
        <v>0.16000000000000075</v>
      </c>
      <c r="N121" s="1">
        <f t="shared" si="11"/>
        <v>0.97316080165133656</v>
      </c>
    </row>
    <row r="122" spans="1:14" x14ac:dyDescent="0.2">
      <c r="A122" s="123">
        <v>117</v>
      </c>
      <c r="B122" s="118">
        <f t="shared" si="13"/>
        <v>-2.0000000000003508E-4</v>
      </c>
      <c r="C122" s="123">
        <f t="shared" si="8"/>
        <v>0.99999996000266678</v>
      </c>
      <c r="D122" s="117">
        <f t="shared" si="14"/>
        <v>-2.0000000000000001E-4</v>
      </c>
      <c r="E122" s="124">
        <f t="shared" si="9"/>
        <v>3.9997333223240616E-8</v>
      </c>
      <c r="F122" s="49">
        <f t="shared" si="15"/>
        <v>0</v>
      </c>
      <c r="K122" s="1">
        <v>117</v>
      </c>
      <c r="L122" s="1">
        <f t="shared" si="10"/>
        <v>-3.0375464166792598E-2</v>
      </c>
      <c r="M122" s="122">
        <f t="shared" si="12"/>
        <v>0.17000000000000076</v>
      </c>
      <c r="N122" s="1">
        <f t="shared" si="11"/>
        <v>0.9696245358332074</v>
      </c>
    </row>
    <row r="123" spans="1:14" x14ac:dyDescent="0.2">
      <c r="A123" s="123">
        <v>118</v>
      </c>
      <c r="B123" s="118">
        <f t="shared" si="13"/>
        <v>-2.0000000000003508E-4</v>
      </c>
      <c r="C123" s="123">
        <f t="shared" si="8"/>
        <v>0.99999996000266678</v>
      </c>
      <c r="D123" s="117">
        <f t="shared" si="14"/>
        <v>-2.0000000000000001E-4</v>
      </c>
      <c r="E123" s="124">
        <f t="shared" si="9"/>
        <v>3.9997333223240616E-8</v>
      </c>
      <c r="F123" s="49">
        <f t="shared" si="15"/>
        <v>0</v>
      </c>
      <c r="K123" s="1">
        <v>118</v>
      </c>
      <c r="L123" s="1">
        <f t="shared" si="10"/>
        <v>-3.4138288650752191E-2</v>
      </c>
      <c r="M123" s="122">
        <f t="shared" si="12"/>
        <v>0.18000000000000077</v>
      </c>
      <c r="N123" s="1">
        <f t="shared" si="11"/>
        <v>0.96586171134924781</v>
      </c>
    </row>
    <row r="124" spans="1:14" x14ac:dyDescent="0.2">
      <c r="A124" s="123">
        <v>119</v>
      </c>
      <c r="B124" s="118">
        <f t="shared" si="13"/>
        <v>-2.0000000000003508E-4</v>
      </c>
      <c r="C124" s="123">
        <f t="shared" si="8"/>
        <v>0.99999996000266678</v>
      </c>
      <c r="D124" s="117">
        <f t="shared" si="14"/>
        <v>-2.0000000000000001E-4</v>
      </c>
      <c r="E124" s="124">
        <f t="shared" si="9"/>
        <v>3.9997333223240616E-8</v>
      </c>
      <c r="F124" s="49">
        <f t="shared" si="15"/>
        <v>0</v>
      </c>
      <c r="K124" s="1">
        <v>119</v>
      </c>
      <c r="L124" s="1">
        <f t="shared" si="10"/>
        <v>-3.8128648304536994E-2</v>
      </c>
      <c r="M124" s="122">
        <f t="shared" si="12"/>
        <v>0.19000000000000078</v>
      </c>
      <c r="N124" s="1">
        <f t="shared" si="11"/>
        <v>0.96187135169546301</v>
      </c>
    </row>
    <row r="125" spans="1:14" x14ac:dyDescent="0.2">
      <c r="A125" s="123">
        <v>120</v>
      </c>
      <c r="B125" s="118">
        <f t="shared" si="13"/>
        <v>-2.0000000000003508E-4</v>
      </c>
      <c r="C125" s="123">
        <f t="shared" si="8"/>
        <v>0.99999996000266678</v>
      </c>
      <c r="D125" s="117">
        <f t="shared" si="14"/>
        <v>-2.0000000000000001E-4</v>
      </c>
      <c r="E125" s="124">
        <f t="shared" si="9"/>
        <v>3.9997333223240616E-8</v>
      </c>
      <c r="F125" s="49">
        <f t="shared" si="15"/>
        <v>0</v>
      </c>
      <c r="K125" s="1">
        <v>120</v>
      </c>
      <c r="L125" s="1">
        <f t="shared" si="10"/>
        <v>-4.2347438263477089E-2</v>
      </c>
      <c r="M125" s="122">
        <f t="shared" si="12"/>
        <v>0.20000000000000079</v>
      </c>
      <c r="N125" s="1">
        <f t="shared" si="11"/>
        <v>0.95765256173652291</v>
      </c>
    </row>
    <row r="126" spans="1:14" x14ac:dyDescent="0.2">
      <c r="A126" s="123">
        <v>121</v>
      </c>
      <c r="B126" s="118">
        <f t="shared" si="13"/>
        <v>-2.0000000000003508E-4</v>
      </c>
      <c r="C126" s="123">
        <f t="shared" si="8"/>
        <v>0.99999996000266678</v>
      </c>
      <c r="D126" s="117">
        <f t="shared" si="14"/>
        <v>-2.0000000000000001E-4</v>
      </c>
      <c r="E126" s="124">
        <f t="shared" si="9"/>
        <v>3.9997333223240616E-8</v>
      </c>
      <c r="F126" s="49">
        <f t="shared" si="15"/>
        <v>0</v>
      </c>
      <c r="K126" s="1">
        <v>121</v>
      </c>
      <c r="L126" s="1">
        <f t="shared" si="10"/>
        <v>-4.6795469390171762E-2</v>
      </c>
      <c r="M126" s="122">
        <f t="shared" si="12"/>
        <v>0.2100000000000008</v>
      </c>
      <c r="N126" s="1">
        <f t="shared" si="11"/>
        <v>0.95320453060982824</v>
      </c>
    </row>
    <row r="127" spans="1:14" x14ac:dyDescent="0.2">
      <c r="A127" s="123">
        <v>122</v>
      </c>
      <c r="B127" s="118">
        <f t="shared" si="13"/>
        <v>-2.0000000000003508E-4</v>
      </c>
      <c r="C127" s="123">
        <f t="shared" si="8"/>
        <v>0.99999996000266678</v>
      </c>
      <c r="D127" s="117">
        <f t="shared" si="14"/>
        <v>-2.0000000000000001E-4</v>
      </c>
      <c r="E127" s="124">
        <f t="shared" si="9"/>
        <v>3.9997333223240616E-8</v>
      </c>
      <c r="F127" s="49">
        <f t="shared" si="15"/>
        <v>0</v>
      </c>
      <c r="K127" s="1">
        <v>122</v>
      </c>
      <c r="L127" s="1">
        <f t="shared" si="10"/>
        <v>-5.1473465296635212E-2</v>
      </c>
      <c r="M127" s="122">
        <f t="shared" si="12"/>
        <v>0.22000000000000081</v>
      </c>
      <c r="N127" s="1">
        <f t="shared" si="11"/>
        <v>0.94852653470336479</v>
      </c>
    </row>
    <row r="128" spans="1:14" x14ac:dyDescent="0.2">
      <c r="A128" s="123">
        <v>123</v>
      </c>
      <c r="B128" s="118">
        <f t="shared" si="13"/>
        <v>-2.0000000000003508E-4</v>
      </c>
      <c r="C128" s="123">
        <f t="shared" si="8"/>
        <v>0.99999996000266678</v>
      </c>
      <c r="D128" s="117">
        <f t="shared" si="14"/>
        <v>-2.0000000000000001E-4</v>
      </c>
      <c r="E128" s="124">
        <f t="shared" si="9"/>
        <v>3.9997333223240616E-8</v>
      </c>
      <c r="F128" s="49">
        <f t="shared" si="15"/>
        <v>0</v>
      </c>
      <c r="K128" s="1">
        <v>123</v>
      </c>
      <c r="L128" s="1">
        <f t="shared" si="10"/>
        <v>-5.6382059290989939E-2</v>
      </c>
      <c r="M128" s="122">
        <f t="shared" si="12"/>
        <v>0.23000000000000081</v>
      </c>
      <c r="N128" s="1">
        <f t="shared" si="11"/>
        <v>0.94361794070901006</v>
      </c>
    </row>
    <row r="129" spans="1:14" x14ac:dyDescent="0.2">
      <c r="A129" s="123">
        <v>124</v>
      </c>
      <c r="B129" s="118">
        <f t="shared" si="13"/>
        <v>-2.0000000000003508E-4</v>
      </c>
      <c r="C129" s="123">
        <f t="shared" si="8"/>
        <v>0.99999996000266678</v>
      </c>
      <c r="D129" s="117">
        <f t="shared" si="14"/>
        <v>-2.0000000000000001E-4</v>
      </c>
      <c r="E129" s="124">
        <f t="shared" si="9"/>
        <v>3.9997333223240616E-8</v>
      </c>
      <c r="F129" s="49">
        <f t="shared" si="15"/>
        <v>0</v>
      </c>
      <c r="K129" s="1">
        <v>124</v>
      </c>
      <c r="L129" s="1">
        <f t="shared" si="10"/>
        <v>-6.152179124700019E-2</v>
      </c>
      <c r="M129" s="122">
        <f t="shared" si="12"/>
        <v>0.24000000000000082</v>
      </c>
      <c r="N129" s="1">
        <f t="shared" si="11"/>
        <v>0.93847820875299981</v>
      </c>
    </row>
    <row r="130" spans="1:14" x14ac:dyDescent="0.2">
      <c r="A130" s="123">
        <v>125</v>
      </c>
      <c r="B130" s="118">
        <f t="shared" si="13"/>
        <v>-2.0000000000003508E-4</v>
      </c>
      <c r="C130" s="123">
        <f t="shared" si="8"/>
        <v>0.99999996000266678</v>
      </c>
      <c r="D130" s="117">
        <f t="shared" si="14"/>
        <v>-2.0000000000000001E-4</v>
      </c>
      <c r="E130" s="124">
        <f t="shared" si="9"/>
        <v>3.9997333223240616E-8</v>
      </c>
      <c r="F130" s="49">
        <f t="shared" si="15"/>
        <v>0</v>
      </c>
      <c r="K130" s="1">
        <v>125</v>
      </c>
      <c r="L130" s="1">
        <f t="shared" si="10"/>
        <v>-6.6893104394708747E-2</v>
      </c>
      <c r="M130" s="122">
        <f t="shared" si="12"/>
        <v>0.25000000000000083</v>
      </c>
      <c r="N130" s="1">
        <f t="shared" si="11"/>
        <v>0.93310689560529125</v>
      </c>
    </row>
    <row r="131" spans="1:14" x14ac:dyDescent="0.2">
      <c r="A131" s="123">
        <v>126</v>
      </c>
      <c r="B131" s="118">
        <f t="shared" si="13"/>
        <v>-2.0000000000003508E-4</v>
      </c>
      <c r="C131" s="123">
        <f t="shared" si="8"/>
        <v>0.99999996000266678</v>
      </c>
      <c r="D131" s="117">
        <f t="shared" si="14"/>
        <v>-2.0000000000000001E-4</v>
      </c>
      <c r="E131" s="124">
        <f t="shared" si="9"/>
        <v>3.9997333223240616E-8</v>
      </c>
      <c r="F131" s="49">
        <f t="shared" si="15"/>
        <v>0</v>
      </c>
      <c r="K131" s="1">
        <v>126</v>
      </c>
      <c r="L131" s="1">
        <f t="shared" si="10"/>
        <v>-7.2496342030402561E-2</v>
      </c>
      <c r="M131" s="122">
        <f t="shared" si="12"/>
        <v>0.26000000000000084</v>
      </c>
      <c r="N131" s="1">
        <f t="shared" si="11"/>
        <v>0.92750365796959744</v>
      </c>
    </row>
    <row r="132" spans="1:14" x14ac:dyDescent="0.2">
      <c r="A132" s="123">
        <v>127</v>
      </c>
      <c r="B132" s="118">
        <f t="shared" si="13"/>
        <v>-2.0000000000003508E-4</v>
      </c>
      <c r="C132" s="123">
        <f t="shared" si="8"/>
        <v>0.99999996000266678</v>
      </c>
      <c r="D132" s="117">
        <f t="shared" si="14"/>
        <v>-2.0000000000000001E-4</v>
      </c>
      <c r="E132" s="124">
        <f t="shared" si="9"/>
        <v>3.9997333223240616E-8</v>
      </c>
      <c r="F132" s="49">
        <f t="shared" si="15"/>
        <v>0</v>
      </c>
      <c r="K132" s="1">
        <v>127</v>
      </c>
      <c r="L132" s="1">
        <f t="shared" si="10"/>
        <v>-7.8331744144084836E-2</v>
      </c>
      <c r="M132" s="122">
        <f t="shared" si="12"/>
        <v>0.27000000000000085</v>
      </c>
      <c r="N132" s="1">
        <f t="shared" si="11"/>
        <v>0.92166825585591516</v>
      </c>
    </row>
    <row r="133" spans="1:14" x14ac:dyDescent="0.2">
      <c r="A133" s="123">
        <v>128</v>
      </c>
      <c r="B133" s="118">
        <f t="shared" si="13"/>
        <v>-2.0000000000003508E-4</v>
      </c>
      <c r="C133" s="123">
        <f t="shared" si="8"/>
        <v>0.99999996000266678</v>
      </c>
      <c r="D133" s="117">
        <f t="shared" si="14"/>
        <v>-2.0000000000000001E-4</v>
      </c>
      <c r="E133" s="124">
        <f t="shared" si="9"/>
        <v>3.9997333223240616E-8</v>
      </c>
      <c r="F133" s="49">
        <f t="shared" si="15"/>
        <v>0</v>
      </c>
      <c r="K133" s="1">
        <v>128</v>
      </c>
      <c r="L133" s="1">
        <f t="shared" si="10"/>
        <v>-8.4399443962611564E-2</v>
      </c>
      <c r="M133" s="122">
        <f t="shared" si="12"/>
        <v>0.28000000000000086</v>
      </c>
      <c r="N133" s="1">
        <f t="shared" si="11"/>
        <v>0.91560055603738844</v>
      </c>
    </row>
    <row r="134" spans="1:14" x14ac:dyDescent="0.2">
      <c r="A134" s="123">
        <v>129</v>
      </c>
      <c r="B134" s="118">
        <f t="shared" si="13"/>
        <v>-2.0000000000003508E-4</v>
      </c>
      <c r="C134" s="123">
        <f t="shared" ref="C134:C197" si="16">(EXP(B134)-2-B134)^2</f>
        <v>0.99999996000266678</v>
      </c>
      <c r="D134" s="117">
        <f t="shared" si="14"/>
        <v>-2.0000000000000001E-4</v>
      </c>
      <c r="E134" s="124">
        <f t="shared" ref="E134:E197" si="17">$R$5-C134</f>
        <v>3.9997333223240616E-8</v>
      </c>
      <c r="F134" s="49">
        <f t="shared" si="15"/>
        <v>0</v>
      </c>
      <c r="K134" s="1">
        <v>129</v>
      </c>
      <c r="L134" s="1">
        <f t="shared" ref="L134:L197" si="18">N134-$R$5</f>
        <v>-9.0699464406589159E-2</v>
      </c>
      <c r="M134" s="122">
        <f t="shared" si="12"/>
        <v>0.29000000000000087</v>
      </c>
      <c r="N134" s="1">
        <f t="shared" ref="N134:N197" si="19">(EXP(M134)-2-M134)^2</f>
        <v>0.90930053559341084</v>
      </c>
    </row>
    <row r="135" spans="1:14" x14ac:dyDescent="0.2">
      <c r="A135" s="123">
        <v>130</v>
      </c>
      <c r="B135" s="118">
        <f t="shared" si="13"/>
        <v>-2.0000000000003508E-4</v>
      </c>
      <c r="C135" s="123">
        <f t="shared" si="16"/>
        <v>0.99999996000266678</v>
      </c>
      <c r="D135" s="117">
        <f t="shared" si="14"/>
        <v>-2.0000000000000001E-4</v>
      </c>
      <c r="E135" s="124">
        <f t="shared" si="17"/>
        <v>3.9997333223240616E-8</v>
      </c>
      <c r="F135" s="49">
        <f t="shared" si="15"/>
        <v>0</v>
      </c>
      <c r="K135" s="1">
        <v>130</v>
      </c>
      <c r="L135" s="1">
        <f t="shared" si="18"/>
        <v>-9.7231714459105834E-2</v>
      </c>
      <c r="M135" s="122">
        <f t="shared" ref="M135:M198" si="20">M134+$O$5</f>
        <v>0.30000000000000088</v>
      </c>
      <c r="N135" s="1">
        <f t="shared" si="19"/>
        <v>0.90276828554089417</v>
      </c>
    </row>
    <row r="136" spans="1:14" x14ac:dyDescent="0.2">
      <c r="A136" s="123">
        <v>131</v>
      </c>
      <c r="B136" s="118">
        <f t="shared" ref="B136:B199" si="21">IF(C135&lt;=C134,
         IF(ABS(D135)&lt;=($G$5/$I$5),
                         B135,
                         B135+D136),
         B135+D136)</f>
        <v>-2.0000000000003508E-4</v>
      </c>
      <c r="C136" s="123">
        <f t="shared" si="16"/>
        <v>0.99999996000266678</v>
      </c>
      <c r="D136" s="117">
        <f t="shared" ref="D136:D199" si="22">IF(C135&lt;=C134,
         IF(ABS(D135)&lt;=($G$5/$I$5),
                         D135,
                         -D135/$I$5),
         D135)</f>
        <v>-2.0000000000000001E-4</v>
      </c>
      <c r="E136" s="124">
        <f t="shared" si="17"/>
        <v>3.9997333223240616E-8</v>
      </c>
      <c r="F136" s="49">
        <f t="shared" si="15"/>
        <v>0</v>
      </c>
      <c r="K136" s="1">
        <v>131</v>
      </c>
      <c r="L136" s="1">
        <f t="shared" si="18"/>
        <v>-0.10399598544431976</v>
      </c>
      <c r="M136" s="122">
        <f t="shared" si="20"/>
        <v>0.31000000000000089</v>
      </c>
      <c r="N136" s="1">
        <f t="shared" si="19"/>
        <v>0.89600401455568024</v>
      </c>
    </row>
    <row r="137" spans="1:14" x14ac:dyDescent="0.2">
      <c r="A137" s="123">
        <v>132</v>
      </c>
      <c r="B137" s="118">
        <f t="shared" si="21"/>
        <v>-2.0000000000003508E-4</v>
      </c>
      <c r="C137" s="123">
        <f t="shared" si="16"/>
        <v>0.99999996000266678</v>
      </c>
      <c r="D137" s="117">
        <f t="shared" si="22"/>
        <v>-2.0000000000000001E-4</v>
      </c>
      <c r="E137" s="124">
        <f t="shared" si="17"/>
        <v>3.9997333223240616E-8</v>
      </c>
      <c r="F137" s="49">
        <f t="shared" ref="F137:F200" si="23">ABS(B137-B136)</f>
        <v>0</v>
      </c>
      <c r="K137" s="1">
        <v>132</v>
      </c>
      <c r="L137" s="1">
        <f t="shared" si="18"/>
        <v>-0.11099194721389005</v>
      </c>
      <c r="M137" s="122">
        <f t="shared" si="20"/>
        <v>0.32000000000000089</v>
      </c>
      <c r="N137" s="1">
        <f t="shared" si="19"/>
        <v>0.88900805278610995</v>
      </c>
    </row>
    <row r="138" spans="1:14" x14ac:dyDescent="0.2">
      <c r="A138" s="123">
        <v>133</v>
      </c>
      <c r="B138" s="118">
        <f t="shared" si="21"/>
        <v>-2.0000000000003508E-4</v>
      </c>
      <c r="C138" s="123">
        <f t="shared" si="16"/>
        <v>0.99999996000266678</v>
      </c>
      <c r="D138" s="117">
        <f t="shared" si="22"/>
        <v>-2.0000000000000001E-4</v>
      </c>
      <c r="E138" s="124">
        <f t="shared" si="17"/>
        <v>3.9997333223240616E-8</v>
      </c>
      <c r="F138" s="49">
        <f t="shared" si="23"/>
        <v>0</v>
      </c>
      <c r="K138" s="1">
        <v>133</v>
      </c>
      <c r="L138" s="1">
        <f t="shared" si="18"/>
        <v>-0.11821914423918523</v>
      </c>
      <c r="M138" s="122">
        <f t="shared" si="20"/>
        <v>0.3300000000000009</v>
      </c>
      <c r="N138" s="1">
        <f t="shared" si="19"/>
        <v>0.88178085576081477</v>
      </c>
    </row>
    <row r="139" spans="1:14" x14ac:dyDescent="0.2">
      <c r="A139" s="123">
        <v>134</v>
      </c>
      <c r="B139" s="118">
        <f t="shared" si="21"/>
        <v>-2.0000000000003508E-4</v>
      </c>
      <c r="C139" s="123">
        <f t="shared" si="16"/>
        <v>0.99999996000266678</v>
      </c>
      <c r="D139" s="117">
        <f t="shared" si="22"/>
        <v>-2.0000000000000001E-4</v>
      </c>
      <c r="E139" s="124">
        <f t="shared" si="17"/>
        <v>3.9997333223240616E-8</v>
      </c>
      <c r="F139" s="49">
        <f t="shared" si="23"/>
        <v>0</v>
      </c>
      <c r="K139" s="1">
        <v>134</v>
      </c>
      <c r="L139" s="1">
        <f t="shared" si="18"/>
        <v>-0.12567699160717194</v>
      </c>
      <c r="M139" s="122">
        <f t="shared" si="20"/>
        <v>0.34000000000000091</v>
      </c>
      <c r="N139" s="1">
        <f t="shared" si="19"/>
        <v>0.87432300839282806</v>
      </c>
    </row>
    <row r="140" spans="1:14" x14ac:dyDescent="0.2">
      <c r="A140" s="123">
        <v>135</v>
      </c>
      <c r="B140" s="118">
        <f t="shared" si="21"/>
        <v>-2.0000000000003508E-4</v>
      </c>
      <c r="C140" s="123">
        <f t="shared" si="16"/>
        <v>0.99999996000266678</v>
      </c>
      <c r="D140" s="117">
        <f t="shared" si="22"/>
        <v>-2.0000000000000001E-4</v>
      </c>
      <c r="E140" s="124">
        <f t="shared" si="17"/>
        <v>3.9997333223240616E-8</v>
      </c>
      <c r="F140" s="49">
        <f t="shared" si="23"/>
        <v>0</v>
      </c>
      <c r="K140" s="1">
        <v>135</v>
      </c>
      <c r="L140" s="1">
        <f t="shared" si="18"/>
        <v>-0.13336477091783294</v>
      </c>
      <c r="M140" s="122">
        <f t="shared" si="20"/>
        <v>0.35000000000000092</v>
      </c>
      <c r="N140" s="1">
        <f t="shared" si="19"/>
        <v>0.86663522908216706</v>
      </c>
    </row>
    <row r="141" spans="1:14" x14ac:dyDescent="0.2">
      <c r="A141" s="123">
        <v>136</v>
      </c>
      <c r="B141" s="118">
        <f t="shared" si="21"/>
        <v>-2.0000000000003508E-4</v>
      </c>
      <c r="C141" s="123">
        <f t="shared" si="16"/>
        <v>0.99999996000266678</v>
      </c>
      <c r="D141" s="117">
        <f t="shared" si="22"/>
        <v>-2.0000000000000001E-4</v>
      </c>
      <c r="E141" s="124">
        <f t="shared" si="17"/>
        <v>3.9997333223240616E-8</v>
      </c>
      <c r="F141" s="49">
        <f t="shared" si="23"/>
        <v>0</v>
      </c>
      <c r="K141" s="1">
        <v>136</v>
      </c>
      <c r="L141" s="1">
        <f t="shared" si="18"/>
        <v>-0.1412816260809191</v>
      </c>
      <c r="M141" s="122">
        <f t="shared" si="20"/>
        <v>0.36000000000000093</v>
      </c>
      <c r="N141" s="1">
        <f t="shared" si="19"/>
        <v>0.8587183739190809</v>
      </c>
    </row>
    <row r="142" spans="1:14" x14ac:dyDescent="0.2">
      <c r="A142" s="123">
        <v>137</v>
      </c>
      <c r="B142" s="118">
        <f t="shared" si="21"/>
        <v>-2.0000000000003508E-4</v>
      </c>
      <c r="C142" s="123">
        <f t="shared" si="16"/>
        <v>0.99999996000266678</v>
      </c>
      <c r="D142" s="117">
        <f t="shared" si="22"/>
        <v>-2.0000000000000001E-4</v>
      </c>
      <c r="E142" s="124">
        <f t="shared" si="17"/>
        <v>3.9997333223240616E-8</v>
      </c>
      <c r="F142" s="49">
        <f t="shared" si="23"/>
        <v>0</v>
      </c>
      <c r="K142" s="1">
        <v>137</v>
      </c>
      <c r="L142" s="1">
        <f t="shared" si="18"/>
        <v>-0.14942655900979418</v>
      </c>
      <c r="M142" s="122">
        <f t="shared" si="20"/>
        <v>0.37000000000000094</v>
      </c>
      <c r="N142" s="1">
        <f t="shared" si="19"/>
        <v>0.85057344099020582</v>
      </c>
    </row>
    <row r="143" spans="1:14" x14ac:dyDescent="0.2">
      <c r="A143" s="123">
        <v>138</v>
      </c>
      <c r="B143" s="118">
        <f t="shared" si="21"/>
        <v>-2.0000000000003508E-4</v>
      </c>
      <c r="C143" s="123">
        <f t="shared" si="16"/>
        <v>0.99999996000266678</v>
      </c>
      <c r="D143" s="117">
        <f t="shared" si="22"/>
        <v>-2.0000000000000001E-4</v>
      </c>
      <c r="E143" s="124">
        <f t="shared" si="17"/>
        <v>3.9997333223240616E-8</v>
      </c>
      <c r="F143" s="49">
        <f t="shared" si="23"/>
        <v>0</v>
      </c>
      <c r="K143" s="1">
        <v>138</v>
      </c>
      <c r="L143" s="1">
        <f t="shared" si="18"/>
        <v>-0.15779842521009102</v>
      </c>
      <c r="M143" s="122">
        <f t="shared" si="20"/>
        <v>0.38000000000000095</v>
      </c>
      <c r="N143" s="1">
        <f t="shared" si="19"/>
        <v>0.84220157478990898</v>
      </c>
    </row>
    <row r="144" spans="1:14" x14ac:dyDescent="0.2">
      <c r="A144" s="123">
        <v>139</v>
      </c>
      <c r="B144" s="118">
        <f t="shared" si="21"/>
        <v>-2.0000000000003508E-4</v>
      </c>
      <c r="C144" s="123">
        <f t="shared" si="16"/>
        <v>0.99999996000266678</v>
      </c>
      <c r="D144" s="117">
        <f t="shared" si="22"/>
        <v>-2.0000000000000001E-4</v>
      </c>
      <c r="E144" s="124">
        <f t="shared" si="17"/>
        <v>3.9997333223240616E-8</v>
      </c>
      <c r="F144" s="49">
        <f t="shared" si="23"/>
        <v>0</v>
      </c>
      <c r="K144" s="1">
        <v>139</v>
      </c>
      <c r="L144" s="1">
        <f t="shared" si="18"/>
        <v>-0.16639592926083124</v>
      </c>
      <c r="M144" s="122">
        <f t="shared" si="20"/>
        <v>0.39000000000000096</v>
      </c>
      <c r="N144" s="1">
        <f t="shared" si="19"/>
        <v>0.83360407073916876</v>
      </c>
    </row>
    <row r="145" spans="1:14" x14ac:dyDescent="0.2">
      <c r="A145" s="123">
        <v>140</v>
      </c>
      <c r="B145" s="118">
        <f t="shared" si="21"/>
        <v>-2.0000000000003508E-4</v>
      </c>
      <c r="C145" s="123">
        <f t="shared" si="16"/>
        <v>0.99999996000266678</v>
      </c>
      <c r="D145" s="117">
        <f t="shared" si="22"/>
        <v>-2.0000000000000001E-4</v>
      </c>
      <c r="E145" s="124">
        <f t="shared" si="17"/>
        <v>3.9997333223240616E-8</v>
      </c>
      <c r="F145" s="49">
        <f t="shared" si="23"/>
        <v>0</v>
      </c>
      <c r="K145" s="1">
        <v>140</v>
      </c>
      <c r="L145" s="1">
        <f t="shared" si="18"/>
        <v>-0.17521762018563058</v>
      </c>
      <c r="M145" s="122">
        <f t="shared" si="20"/>
        <v>0.40000000000000097</v>
      </c>
      <c r="N145" s="1">
        <f t="shared" si="19"/>
        <v>0.82478237981436942</v>
      </c>
    </row>
    <row r="146" spans="1:14" x14ac:dyDescent="0.2">
      <c r="A146" s="123">
        <v>141</v>
      </c>
      <c r="B146" s="118">
        <f t="shared" si="21"/>
        <v>-2.0000000000003508E-4</v>
      </c>
      <c r="C146" s="123">
        <f t="shared" si="16"/>
        <v>0.99999996000266678</v>
      </c>
      <c r="D146" s="117">
        <f t="shared" si="22"/>
        <v>-2.0000000000000001E-4</v>
      </c>
      <c r="E146" s="124">
        <f t="shared" si="17"/>
        <v>3.9997333223240616E-8</v>
      </c>
      <c r="F146" s="49">
        <f t="shared" si="23"/>
        <v>0</v>
      </c>
      <c r="K146" s="1">
        <v>141</v>
      </c>
      <c r="L146" s="1">
        <f t="shared" si="18"/>
        <v>-0.18426188671154919</v>
      </c>
      <c r="M146" s="122">
        <f t="shared" si="20"/>
        <v>0.41000000000000097</v>
      </c>
      <c r="N146" s="1">
        <f t="shared" si="19"/>
        <v>0.81573811328845081</v>
      </c>
    </row>
    <row r="147" spans="1:14" x14ac:dyDescent="0.2">
      <c r="A147" s="123">
        <v>142</v>
      </c>
      <c r="B147" s="118">
        <f t="shared" si="21"/>
        <v>-2.0000000000003508E-4</v>
      </c>
      <c r="C147" s="123">
        <f t="shared" si="16"/>
        <v>0.99999996000266678</v>
      </c>
      <c r="D147" s="117">
        <f t="shared" si="22"/>
        <v>-2.0000000000000001E-4</v>
      </c>
      <c r="E147" s="124">
        <f t="shared" si="17"/>
        <v>3.9997333223240616E-8</v>
      </c>
      <c r="F147" s="49">
        <f t="shared" si="23"/>
        <v>0</v>
      </c>
      <c r="K147" s="1">
        <v>142</v>
      </c>
      <c r="L147" s="1">
        <f t="shared" si="18"/>
        <v>-0.19352695241309648</v>
      </c>
      <c r="M147" s="122">
        <f t="shared" si="20"/>
        <v>0.42000000000000098</v>
      </c>
      <c r="N147" s="1">
        <f t="shared" si="19"/>
        <v>0.80647304758690352</v>
      </c>
    </row>
    <row r="148" spans="1:14" x14ac:dyDescent="0.2">
      <c r="A148" s="123">
        <v>143</v>
      </c>
      <c r="B148" s="118">
        <f t="shared" si="21"/>
        <v>-2.0000000000003508E-4</v>
      </c>
      <c r="C148" s="123">
        <f t="shared" si="16"/>
        <v>0.99999996000266678</v>
      </c>
      <c r="D148" s="117">
        <f t="shared" si="22"/>
        <v>-2.0000000000000001E-4</v>
      </c>
      <c r="E148" s="124">
        <f t="shared" si="17"/>
        <v>3.9997333223240616E-8</v>
      </c>
      <c r="F148" s="49">
        <f t="shared" si="23"/>
        <v>0</v>
      </c>
      <c r="K148" s="1">
        <v>143</v>
      </c>
      <c r="L148" s="1">
        <f t="shared" si="18"/>
        <v>-0.20301087073885338</v>
      </c>
      <c r="M148" s="122">
        <f t="shared" si="20"/>
        <v>0.43000000000000099</v>
      </c>
      <c r="N148" s="1">
        <f t="shared" si="19"/>
        <v>0.79698912926114662</v>
      </c>
    </row>
    <row r="149" spans="1:14" x14ac:dyDescent="0.2">
      <c r="A149" s="123">
        <v>144</v>
      </c>
      <c r="B149" s="118">
        <f t="shared" si="21"/>
        <v>-2.0000000000003508E-4</v>
      </c>
      <c r="C149" s="123">
        <f t="shared" si="16"/>
        <v>0.99999996000266678</v>
      </c>
      <c r="D149" s="117">
        <f t="shared" si="22"/>
        <v>-2.0000000000000001E-4</v>
      </c>
      <c r="E149" s="124">
        <f t="shared" si="17"/>
        <v>3.9997333223240616E-8</v>
      </c>
      <c r="F149" s="49">
        <f t="shared" si="23"/>
        <v>0</v>
      </c>
      <c r="K149" s="1">
        <v>144</v>
      </c>
      <c r="L149" s="1">
        <f t="shared" si="18"/>
        <v>-0.21271151991811077</v>
      </c>
      <c r="M149" s="122">
        <f t="shared" si="20"/>
        <v>0.440000000000001</v>
      </c>
      <c r="N149" s="1">
        <f t="shared" si="19"/>
        <v>0.78728848008188923</v>
      </c>
    </row>
    <row r="150" spans="1:14" x14ac:dyDescent="0.2">
      <c r="A150" s="123">
        <v>145</v>
      </c>
      <c r="B150" s="118">
        <f t="shared" si="21"/>
        <v>-2.0000000000003508E-4</v>
      </c>
      <c r="C150" s="123">
        <f t="shared" si="16"/>
        <v>0.99999996000266678</v>
      </c>
      <c r="D150" s="117">
        <f t="shared" si="22"/>
        <v>-2.0000000000000001E-4</v>
      </c>
      <c r="E150" s="124">
        <f t="shared" si="17"/>
        <v>3.9997333223240616E-8</v>
      </c>
      <c r="F150" s="49">
        <f t="shared" si="23"/>
        <v>0</v>
      </c>
      <c r="K150" s="1">
        <v>145</v>
      </c>
      <c r="L150" s="1">
        <f t="shared" si="18"/>
        <v>-0.22262659774487858</v>
      </c>
      <c r="M150" s="122">
        <f t="shared" si="20"/>
        <v>0.45000000000000101</v>
      </c>
      <c r="N150" s="1">
        <f t="shared" si="19"/>
        <v>0.77737340225512142</v>
      </c>
    </row>
    <row r="151" spans="1:14" x14ac:dyDescent="0.2">
      <c r="A151" s="123">
        <v>146</v>
      </c>
      <c r="B151" s="118">
        <f t="shared" si="21"/>
        <v>-2.0000000000003508E-4</v>
      </c>
      <c r="C151" s="123">
        <f t="shared" si="16"/>
        <v>0.99999996000266678</v>
      </c>
      <c r="D151" s="117">
        <f t="shared" si="22"/>
        <v>-2.0000000000000001E-4</v>
      </c>
      <c r="E151" s="124">
        <f t="shared" si="17"/>
        <v>3.9997333223240616E-8</v>
      </c>
      <c r="F151" s="49">
        <f t="shared" si="23"/>
        <v>0</v>
      </c>
      <c r="K151" s="1">
        <v>146</v>
      </c>
      <c r="L151" s="1">
        <f t="shared" si="18"/>
        <v>-0.23275361623655355</v>
      </c>
      <c r="M151" s="122">
        <f t="shared" si="20"/>
        <v>0.46000000000000102</v>
      </c>
      <c r="N151" s="1">
        <f t="shared" si="19"/>
        <v>0.76724638376344645</v>
      </c>
    </row>
    <row r="152" spans="1:14" x14ac:dyDescent="0.2">
      <c r="A152" s="123">
        <v>147</v>
      </c>
      <c r="B152" s="118">
        <f t="shared" si="21"/>
        <v>-2.0000000000003508E-4</v>
      </c>
      <c r="C152" s="123">
        <f t="shared" si="16"/>
        <v>0.99999996000266678</v>
      </c>
      <c r="D152" s="117">
        <f t="shared" si="22"/>
        <v>-2.0000000000000001E-4</v>
      </c>
      <c r="E152" s="124">
        <f t="shared" si="17"/>
        <v>3.9997333223240616E-8</v>
      </c>
      <c r="F152" s="49">
        <f t="shared" si="23"/>
        <v>0</v>
      </c>
      <c r="K152" s="1">
        <v>147</v>
      </c>
      <c r="L152" s="1">
        <f t="shared" si="18"/>
        <v>-0.24308989616448895</v>
      </c>
      <c r="M152" s="122">
        <f t="shared" si="20"/>
        <v>0.47000000000000103</v>
      </c>
      <c r="N152" s="1">
        <f t="shared" si="19"/>
        <v>0.75691010383551105</v>
      </c>
    </row>
    <row r="153" spans="1:14" x14ac:dyDescent="0.2">
      <c r="A153" s="123">
        <v>148</v>
      </c>
      <c r="B153" s="118">
        <f t="shared" si="21"/>
        <v>-2.0000000000003508E-4</v>
      </c>
      <c r="C153" s="123">
        <f t="shared" si="16"/>
        <v>0.99999996000266678</v>
      </c>
      <c r="D153" s="117">
        <f t="shared" si="22"/>
        <v>-2.0000000000000001E-4</v>
      </c>
      <c r="E153" s="124">
        <f t="shared" si="17"/>
        <v>3.9997333223240616E-8</v>
      </c>
      <c r="F153" s="49">
        <f t="shared" si="23"/>
        <v>0</v>
      </c>
      <c r="K153" s="1">
        <v>148</v>
      </c>
      <c r="L153" s="1">
        <f t="shared" si="18"/>
        <v>-0.25363256145363433</v>
      </c>
      <c r="M153" s="122">
        <f t="shared" si="20"/>
        <v>0.48000000000000104</v>
      </c>
      <c r="N153" s="1">
        <f t="shared" si="19"/>
        <v>0.74636743854636567</v>
      </c>
    </row>
    <row r="154" spans="1:14" x14ac:dyDescent="0.2">
      <c r="A154" s="123">
        <v>149</v>
      </c>
      <c r="B154" s="118">
        <f t="shared" si="21"/>
        <v>-2.0000000000003508E-4</v>
      </c>
      <c r="C154" s="123">
        <f t="shared" si="16"/>
        <v>0.99999996000266678</v>
      </c>
      <c r="D154" s="117">
        <f t="shared" si="22"/>
        <v>-2.0000000000000001E-4</v>
      </c>
      <c r="E154" s="124">
        <f t="shared" si="17"/>
        <v>3.9997333223240616E-8</v>
      </c>
      <c r="F154" s="49">
        <f t="shared" si="23"/>
        <v>0</v>
      </c>
      <c r="K154" s="1">
        <v>149</v>
      </c>
      <c r="L154" s="1">
        <f t="shared" si="18"/>
        <v>-0.26437853344837114</v>
      </c>
      <c r="M154" s="122">
        <f t="shared" si="20"/>
        <v>0.49000000000000105</v>
      </c>
      <c r="N154" s="1">
        <f t="shared" si="19"/>
        <v>0.73562146655162886</v>
      </c>
    </row>
    <row r="155" spans="1:14" x14ac:dyDescent="0.2">
      <c r="A155" s="123">
        <v>150</v>
      </c>
      <c r="B155" s="118">
        <f t="shared" si="21"/>
        <v>-2.0000000000003508E-4</v>
      </c>
      <c r="C155" s="123">
        <f t="shared" si="16"/>
        <v>0.99999996000266678</v>
      </c>
      <c r="D155" s="117">
        <f t="shared" si="22"/>
        <v>-2.0000000000000001E-4</v>
      </c>
      <c r="E155" s="124">
        <f t="shared" si="17"/>
        <v>3.9997333223240616E-8</v>
      </c>
      <c r="F155" s="49">
        <f t="shared" si="23"/>
        <v>0</v>
      </c>
      <c r="K155" s="1">
        <v>150</v>
      </c>
      <c r="L155" s="1">
        <f t="shared" si="18"/>
        <v>-0.27532452504159655</v>
      </c>
      <c r="M155" s="122">
        <f t="shared" si="20"/>
        <v>0.500000000000001</v>
      </c>
      <c r="N155" s="1">
        <f t="shared" si="19"/>
        <v>0.72467547495840345</v>
      </c>
    </row>
    <row r="156" spans="1:14" x14ac:dyDescent="0.2">
      <c r="A156" s="123">
        <v>151</v>
      </c>
      <c r="B156" s="118">
        <f t="shared" si="21"/>
        <v>-2.0000000000003508E-4</v>
      </c>
      <c r="C156" s="123">
        <f t="shared" si="16"/>
        <v>0.99999996000266678</v>
      </c>
      <c r="D156" s="117">
        <f t="shared" si="22"/>
        <v>-2.0000000000000001E-4</v>
      </c>
      <c r="E156" s="124">
        <f t="shared" si="17"/>
        <v>3.9997333223240616E-8</v>
      </c>
      <c r="F156" s="49">
        <f t="shared" si="23"/>
        <v>0</v>
      </c>
      <c r="K156" s="1">
        <v>151</v>
      </c>
      <c r="L156" s="1">
        <f t="shared" si="18"/>
        <v>-0.28646703466405243</v>
      </c>
      <c r="M156" s="122">
        <f t="shared" si="20"/>
        <v>0.51000000000000101</v>
      </c>
      <c r="N156" s="1">
        <f t="shared" si="19"/>
        <v>0.71353296533594757</v>
      </c>
    </row>
    <row r="157" spans="1:14" x14ac:dyDescent="0.2">
      <c r="A157" s="123">
        <v>152</v>
      </c>
      <c r="B157" s="118">
        <f t="shared" si="21"/>
        <v>-2.0000000000003508E-4</v>
      </c>
      <c r="C157" s="123">
        <f t="shared" si="16"/>
        <v>0.99999996000266678</v>
      </c>
      <c r="D157" s="117">
        <f t="shared" si="22"/>
        <v>-2.0000000000000001E-4</v>
      </c>
      <c r="E157" s="124">
        <f t="shared" si="17"/>
        <v>3.9997333223240616E-8</v>
      </c>
      <c r="F157" s="49">
        <f t="shared" si="23"/>
        <v>0</v>
      </c>
      <c r="K157" s="1">
        <v>152</v>
      </c>
      <c r="L157" s="1">
        <f t="shared" si="18"/>
        <v>-0.29780234013082862</v>
      </c>
      <c r="M157" s="122">
        <f t="shared" si="20"/>
        <v>0.52000000000000102</v>
      </c>
      <c r="N157" s="1">
        <f t="shared" si="19"/>
        <v>0.70219765986917138</v>
      </c>
    </row>
    <row r="158" spans="1:14" x14ac:dyDescent="0.2">
      <c r="A158" s="123">
        <v>153</v>
      </c>
      <c r="B158" s="118">
        <f t="shared" si="21"/>
        <v>-2.0000000000003508E-4</v>
      </c>
      <c r="C158" s="123">
        <f t="shared" si="16"/>
        <v>0.99999996000266678</v>
      </c>
      <c r="D158" s="117">
        <f t="shared" si="22"/>
        <v>-2.0000000000000001E-4</v>
      </c>
      <c r="E158" s="124">
        <f t="shared" si="17"/>
        <v>3.9997333223240616E-8</v>
      </c>
      <c r="F158" s="49">
        <f t="shared" si="23"/>
        <v>0</v>
      </c>
      <c r="K158" s="1">
        <v>153</v>
      </c>
      <c r="L158" s="1">
        <f t="shared" si="18"/>
        <v>-0.30932649234190923</v>
      </c>
      <c r="M158" s="122">
        <f t="shared" si="20"/>
        <v>0.53000000000000103</v>
      </c>
      <c r="N158" s="1">
        <f t="shared" si="19"/>
        <v>0.69067350765809077</v>
      </c>
    </row>
    <row r="159" spans="1:14" x14ac:dyDescent="0.2">
      <c r="A159" s="123">
        <v>154</v>
      </c>
      <c r="B159" s="118">
        <f t="shared" si="21"/>
        <v>-2.0000000000003508E-4</v>
      </c>
      <c r="C159" s="123">
        <f t="shared" si="16"/>
        <v>0.99999996000266678</v>
      </c>
      <c r="D159" s="117">
        <f t="shared" si="22"/>
        <v>-2.0000000000000001E-4</v>
      </c>
      <c r="E159" s="124">
        <f t="shared" si="17"/>
        <v>3.9997333223240616E-8</v>
      </c>
      <c r="F159" s="49">
        <f t="shared" si="23"/>
        <v>0</v>
      </c>
      <c r="K159" s="1">
        <v>154</v>
      </c>
      <c r="L159" s="1">
        <f t="shared" si="18"/>
        <v>-0.32103530883355846</v>
      </c>
      <c r="M159" s="122">
        <f t="shared" si="20"/>
        <v>0.54000000000000103</v>
      </c>
      <c r="N159" s="1">
        <f t="shared" si="19"/>
        <v>0.67896469116644154</v>
      </c>
    </row>
    <row r="160" spans="1:14" x14ac:dyDescent="0.2">
      <c r="A160" s="123">
        <v>155</v>
      </c>
      <c r="B160" s="118">
        <f t="shared" si="21"/>
        <v>-2.0000000000003508E-4</v>
      </c>
      <c r="C160" s="123">
        <f t="shared" si="16"/>
        <v>0.99999996000266678</v>
      </c>
      <c r="D160" s="117">
        <f t="shared" si="22"/>
        <v>-2.0000000000000001E-4</v>
      </c>
      <c r="E160" s="124">
        <f t="shared" si="17"/>
        <v>3.9997333223240616E-8</v>
      </c>
      <c r="F160" s="49">
        <f t="shared" si="23"/>
        <v>0</v>
      </c>
      <c r="K160" s="1">
        <v>155</v>
      </c>
      <c r="L160" s="1">
        <f t="shared" si="18"/>
        <v>-0.3329243671772838</v>
      </c>
      <c r="M160" s="122">
        <f t="shared" si="20"/>
        <v>0.55000000000000104</v>
      </c>
      <c r="N160" s="1">
        <f t="shared" si="19"/>
        <v>0.6670756328227162</v>
      </c>
    </row>
    <row r="161" spans="1:14" x14ac:dyDescent="0.2">
      <c r="A161" s="123">
        <v>156</v>
      </c>
      <c r="B161" s="118">
        <f t="shared" si="21"/>
        <v>-2.0000000000003508E-4</v>
      </c>
      <c r="C161" s="123">
        <f t="shared" si="16"/>
        <v>0.99999996000266678</v>
      </c>
      <c r="D161" s="117">
        <f t="shared" si="22"/>
        <v>-2.0000000000000001E-4</v>
      </c>
      <c r="E161" s="124">
        <f t="shared" si="17"/>
        <v>3.9997333223240616E-8</v>
      </c>
      <c r="F161" s="49">
        <f t="shared" si="23"/>
        <v>0</v>
      </c>
      <c r="K161" s="1">
        <v>156</v>
      </c>
      <c r="L161" s="1">
        <f t="shared" si="18"/>
        <v>-0.34498899822303686</v>
      </c>
      <c r="M161" s="122">
        <f t="shared" si="20"/>
        <v>0.56000000000000105</v>
      </c>
      <c r="N161" s="1">
        <f t="shared" si="19"/>
        <v>0.65501100177696314</v>
      </c>
    </row>
    <row r="162" spans="1:14" x14ac:dyDescent="0.2">
      <c r="A162" s="123">
        <v>157</v>
      </c>
      <c r="B162" s="118">
        <f t="shared" si="21"/>
        <v>-2.0000000000003508E-4</v>
      </c>
      <c r="C162" s="123">
        <f t="shared" si="16"/>
        <v>0.99999996000266678</v>
      </c>
      <c r="D162" s="117">
        <f t="shared" si="22"/>
        <v>-2.0000000000000001E-4</v>
      </c>
      <c r="E162" s="124">
        <f t="shared" si="17"/>
        <v>3.9997333223240616E-8</v>
      </c>
      <c r="F162" s="49">
        <f t="shared" si="23"/>
        <v>0</v>
      </c>
      <c r="K162" s="1">
        <v>157</v>
      </c>
      <c r="L162" s="1">
        <f t="shared" si="18"/>
        <v>-0.35722427918324429</v>
      </c>
      <c r="M162" s="122">
        <f t="shared" si="20"/>
        <v>0.57000000000000106</v>
      </c>
      <c r="N162" s="1">
        <f t="shared" si="19"/>
        <v>0.64277572081675571</v>
      </c>
    </row>
    <row r="163" spans="1:14" x14ac:dyDescent="0.2">
      <c r="A163" s="123">
        <v>158</v>
      </c>
      <c r="B163" s="118">
        <f t="shared" si="21"/>
        <v>-2.0000000000003508E-4</v>
      </c>
      <c r="C163" s="123">
        <f t="shared" si="16"/>
        <v>0.99999996000266678</v>
      </c>
      <c r="D163" s="117">
        <f t="shared" si="22"/>
        <v>-2.0000000000000001E-4</v>
      </c>
      <c r="E163" s="124">
        <f t="shared" si="17"/>
        <v>3.9997333223240616E-8</v>
      </c>
      <c r="F163" s="49">
        <f t="shared" si="23"/>
        <v>0</v>
      </c>
      <c r="K163" s="1">
        <v>158</v>
      </c>
      <c r="L163" s="1">
        <f t="shared" si="18"/>
        <v>-0.36962502655419549</v>
      </c>
      <c r="M163" s="122">
        <f t="shared" si="20"/>
        <v>0.58000000000000107</v>
      </c>
      <c r="N163" s="1">
        <f t="shared" si="19"/>
        <v>0.63037497344580451</v>
      </c>
    </row>
    <row r="164" spans="1:14" x14ac:dyDescent="0.2">
      <c r="A164" s="123">
        <v>159</v>
      </c>
      <c r="B164" s="118">
        <f t="shared" si="21"/>
        <v>-2.0000000000003508E-4</v>
      </c>
      <c r="C164" s="123">
        <f t="shared" si="16"/>
        <v>0.99999996000266678</v>
      </c>
      <c r="D164" s="117">
        <f t="shared" si="22"/>
        <v>-2.0000000000000001E-4</v>
      </c>
      <c r="E164" s="124">
        <f t="shared" si="17"/>
        <v>3.9997333223240616E-8</v>
      </c>
      <c r="F164" s="49">
        <f t="shared" si="23"/>
        <v>0</v>
      </c>
      <c r="K164" s="1">
        <v>159</v>
      </c>
      <c r="L164" s="1">
        <f t="shared" si="18"/>
        <v>-0.38218578887122956</v>
      </c>
      <c r="M164" s="122">
        <f t="shared" si="20"/>
        <v>0.59000000000000108</v>
      </c>
      <c r="N164" s="1">
        <f t="shared" si="19"/>
        <v>0.61781421112877044</v>
      </c>
    </row>
    <row r="165" spans="1:14" x14ac:dyDescent="0.2">
      <c r="A165" s="123">
        <v>160</v>
      </c>
      <c r="B165" s="118">
        <f t="shared" si="21"/>
        <v>-2.0000000000003508E-4</v>
      </c>
      <c r="C165" s="123">
        <f t="shared" si="16"/>
        <v>0.99999996000266678</v>
      </c>
      <c r="D165" s="117">
        <f t="shared" si="22"/>
        <v>-2.0000000000000001E-4</v>
      </c>
      <c r="E165" s="124">
        <f t="shared" si="17"/>
        <v>3.9997333223240616E-8</v>
      </c>
      <c r="F165" s="49">
        <f t="shared" si="23"/>
        <v>0</v>
      </c>
      <c r="K165" s="1">
        <v>160</v>
      </c>
      <c r="L165" s="1">
        <f t="shared" si="18"/>
        <v>-0.39490083929410047</v>
      </c>
      <c r="M165" s="122">
        <f t="shared" si="20"/>
        <v>0.60000000000000109</v>
      </c>
      <c r="N165" s="1">
        <f t="shared" si="19"/>
        <v>0.60509916070589953</v>
      </c>
    </row>
    <row r="166" spans="1:14" x14ac:dyDescent="0.2">
      <c r="A166" s="123">
        <v>161</v>
      </c>
      <c r="B166" s="118">
        <f t="shared" si="21"/>
        <v>-2.0000000000003508E-4</v>
      </c>
      <c r="C166" s="123">
        <f t="shared" si="16"/>
        <v>0.99999996000266678</v>
      </c>
      <c r="D166" s="117">
        <f t="shared" si="22"/>
        <v>-2.0000000000000001E-4</v>
      </c>
      <c r="E166" s="124">
        <f t="shared" si="17"/>
        <v>3.9997333223240616E-8</v>
      </c>
      <c r="F166" s="49">
        <f t="shared" si="23"/>
        <v>0</v>
      </c>
      <c r="K166" s="1">
        <v>161</v>
      </c>
      <c r="L166" s="1">
        <f t="shared" si="18"/>
        <v>-0.40776416801881421</v>
      </c>
      <c r="M166" s="122">
        <f t="shared" si="20"/>
        <v>0.6100000000000011</v>
      </c>
      <c r="N166" s="1">
        <f t="shared" si="19"/>
        <v>0.59223583198118579</v>
      </c>
    </row>
    <row r="167" spans="1:14" x14ac:dyDescent="0.2">
      <c r="A167" s="123">
        <v>162</v>
      </c>
      <c r="B167" s="118">
        <f t="shared" si="21"/>
        <v>-2.0000000000003508E-4</v>
      </c>
      <c r="C167" s="123">
        <f t="shared" si="16"/>
        <v>0.99999996000266678</v>
      </c>
      <c r="D167" s="117">
        <f t="shared" si="22"/>
        <v>-2.0000000000000001E-4</v>
      </c>
      <c r="E167" s="124">
        <f t="shared" si="17"/>
        <v>3.9997333223240616E-8</v>
      </c>
      <c r="F167" s="49">
        <f t="shared" si="23"/>
        <v>0</v>
      </c>
      <c r="K167" s="1">
        <v>162</v>
      </c>
      <c r="L167" s="1">
        <f t="shared" si="18"/>
        <v>-0.42076947451215818</v>
      </c>
      <c r="M167" s="122">
        <f t="shared" si="20"/>
        <v>0.62000000000000111</v>
      </c>
      <c r="N167" s="1">
        <f t="shared" si="19"/>
        <v>0.57923052548784182</v>
      </c>
    </row>
    <row r="168" spans="1:14" x14ac:dyDescent="0.2">
      <c r="A168" s="123">
        <v>163</v>
      </c>
      <c r="B168" s="118">
        <f t="shared" si="21"/>
        <v>-2.0000000000003508E-4</v>
      </c>
      <c r="C168" s="123">
        <f t="shared" si="16"/>
        <v>0.99999996000266678</v>
      </c>
      <c r="D168" s="117">
        <f t="shared" si="22"/>
        <v>-2.0000000000000001E-4</v>
      </c>
      <c r="E168" s="124">
        <f t="shared" si="17"/>
        <v>3.9997333223240616E-8</v>
      </c>
      <c r="F168" s="49">
        <f t="shared" si="23"/>
        <v>0</v>
      </c>
      <c r="K168" s="1">
        <v>163</v>
      </c>
      <c r="L168" s="1">
        <f t="shared" si="18"/>
        <v>-0.43391015956506407</v>
      </c>
      <c r="M168" s="122">
        <f t="shared" si="20"/>
        <v>0.63000000000000111</v>
      </c>
      <c r="N168" s="1">
        <f t="shared" si="19"/>
        <v>0.56608984043493593</v>
      </c>
    </row>
    <row r="169" spans="1:14" x14ac:dyDescent="0.2">
      <c r="A169" s="123">
        <v>164</v>
      </c>
      <c r="B169" s="118">
        <f t="shared" si="21"/>
        <v>-2.0000000000003508E-4</v>
      </c>
      <c r="C169" s="123">
        <f t="shared" si="16"/>
        <v>0.99999996000266678</v>
      </c>
      <c r="D169" s="117">
        <f t="shared" si="22"/>
        <v>-2.0000000000000001E-4</v>
      </c>
      <c r="E169" s="124">
        <f t="shared" si="17"/>
        <v>3.9997333223240616E-8</v>
      </c>
      <c r="F169" s="49">
        <f t="shared" si="23"/>
        <v>0</v>
      </c>
      <c r="K169" s="1">
        <v>164</v>
      </c>
      <c r="L169" s="1">
        <f t="shared" si="18"/>
        <v>-0.44717931716086312</v>
      </c>
      <c r="M169" s="122">
        <f t="shared" si="20"/>
        <v>0.64000000000000112</v>
      </c>
      <c r="N169" s="1">
        <f t="shared" si="19"/>
        <v>0.55282068283913688</v>
      </c>
    </row>
    <row r="170" spans="1:14" x14ac:dyDescent="0.2">
      <c r="A170" s="123">
        <v>165</v>
      </c>
      <c r="B170" s="118">
        <f t="shared" si="21"/>
        <v>-2.0000000000003508E-4</v>
      </c>
      <c r="C170" s="123">
        <f t="shared" si="16"/>
        <v>0.99999996000266678</v>
      </c>
      <c r="D170" s="117">
        <f t="shared" si="22"/>
        <v>-2.0000000000000001E-4</v>
      </c>
      <c r="E170" s="124">
        <f t="shared" si="17"/>
        <v>3.9997333223240616E-8</v>
      </c>
      <c r="F170" s="49">
        <f t="shared" si="23"/>
        <v>0</v>
      </c>
      <c r="K170" s="1">
        <v>165</v>
      </c>
      <c r="L170" s="1">
        <f t="shared" si="18"/>
        <v>-0.46056972615440639</v>
      </c>
      <c r="M170" s="122">
        <f t="shared" si="20"/>
        <v>0.65000000000000113</v>
      </c>
      <c r="N170" s="1">
        <f t="shared" si="19"/>
        <v>0.53943027384559361</v>
      </c>
    </row>
    <row r="171" spans="1:14" x14ac:dyDescent="0.2">
      <c r="A171" s="123">
        <v>166</v>
      </c>
      <c r="B171" s="118">
        <f t="shared" si="21"/>
        <v>-2.0000000000003508E-4</v>
      </c>
      <c r="C171" s="123">
        <f t="shared" si="16"/>
        <v>0.99999996000266678</v>
      </c>
      <c r="D171" s="117">
        <f t="shared" si="22"/>
        <v>-2.0000000000000001E-4</v>
      </c>
      <c r="E171" s="124">
        <f t="shared" si="17"/>
        <v>3.9997333223240616E-8</v>
      </c>
      <c r="F171" s="49">
        <f t="shared" si="23"/>
        <v>0</v>
      </c>
      <c r="K171" s="1">
        <v>166</v>
      </c>
      <c r="L171" s="1">
        <f t="shared" si="18"/>
        <v>-0.47407384175794665</v>
      </c>
      <c r="M171" s="122">
        <f t="shared" si="20"/>
        <v>0.66000000000000114</v>
      </c>
      <c r="N171" s="1">
        <f t="shared" si="19"/>
        <v>0.52592615824205335</v>
      </c>
    </row>
    <row r="172" spans="1:14" x14ac:dyDescent="0.2">
      <c r="A172" s="123">
        <v>167</v>
      </c>
      <c r="B172" s="118">
        <f t="shared" si="21"/>
        <v>-2.0000000000003508E-4</v>
      </c>
      <c r="C172" s="123">
        <f t="shared" si="16"/>
        <v>0.99999996000266678</v>
      </c>
      <c r="D172" s="117">
        <f t="shared" si="22"/>
        <v>-2.0000000000000001E-4</v>
      </c>
      <c r="E172" s="124">
        <f t="shared" si="17"/>
        <v>3.9997333223240616E-8</v>
      </c>
      <c r="F172" s="49">
        <f t="shared" si="23"/>
        <v>0</v>
      </c>
      <c r="K172" s="1">
        <v>167</v>
      </c>
      <c r="L172" s="1">
        <f t="shared" si="18"/>
        <v>-0.4876837868295828</v>
      </c>
      <c r="M172" s="122">
        <f t="shared" si="20"/>
        <v>0.67000000000000115</v>
      </c>
      <c r="N172" s="1">
        <f t="shared" si="19"/>
        <v>0.5123162131704172</v>
      </c>
    </row>
    <row r="173" spans="1:14" x14ac:dyDescent="0.2">
      <c r="A173" s="123">
        <v>168</v>
      </c>
      <c r="B173" s="118">
        <f t="shared" si="21"/>
        <v>-2.0000000000003508E-4</v>
      </c>
      <c r="C173" s="123">
        <f t="shared" si="16"/>
        <v>0.99999996000266678</v>
      </c>
      <c r="D173" s="117">
        <f t="shared" si="22"/>
        <v>-2.0000000000000001E-4</v>
      </c>
      <c r="E173" s="124">
        <f t="shared" si="17"/>
        <v>3.9997333223240616E-8</v>
      </c>
      <c r="F173" s="49">
        <f t="shared" si="23"/>
        <v>0</v>
      </c>
      <c r="K173" s="1">
        <v>168</v>
      </c>
      <c r="L173" s="1">
        <f t="shared" si="18"/>
        <v>-0.50139134295998622</v>
      </c>
      <c r="M173" s="122">
        <f t="shared" si="20"/>
        <v>0.68000000000000116</v>
      </c>
      <c r="N173" s="1">
        <f t="shared" si="19"/>
        <v>0.49860865704001378</v>
      </c>
    </row>
    <row r="174" spans="1:14" x14ac:dyDescent="0.2">
      <c r="A174" s="123">
        <v>169</v>
      </c>
      <c r="B174" s="118">
        <f t="shared" si="21"/>
        <v>-2.0000000000003508E-4</v>
      </c>
      <c r="C174" s="123">
        <f t="shared" si="16"/>
        <v>0.99999996000266678</v>
      </c>
      <c r="D174" s="117">
        <f t="shared" si="22"/>
        <v>-2.0000000000000001E-4</v>
      </c>
      <c r="E174" s="124">
        <f t="shared" si="17"/>
        <v>3.9997333223240616E-8</v>
      </c>
      <c r="F174" s="49">
        <f t="shared" si="23"/>
        <v>0</v>
      </c>
      <c r="K174" s="1">
        <v>169</v>
      </c>
      <c r="L174" s="1">
        <f t="shared" si="18"/>
        <v>-0.51518794135303647</v>
      </c>
      <c r="M174" s="122">
        <f t="shared" si="20"/>
        <v>0.69000000000000117</v>
      </c>
      <c r="N174" s="1">
        <f t="shared" si="19"/>
        <v>0.48481205864696353</v>
      </c>
    </row>
    <row r="175" spans="1:14" x14ac:dyDescent="0.2">
      <c r="A175" s="123">
        <v>170</v>
      </c>
      <c r="B175" s="118">
        <f t="shared" si="21"/>
        <v>-2.0000000000003508E-4</v>
      </c>
      <c r="C175" s="123">
        <f t="shared" si="16"/>
        <v>0.99999996000266678</v>
      </c>
      <c r="D175" s="117">
        <f t="shared" si="22"/>
        <v>-2.0000000000000001E-4</v>
      </c>
      <c r="E175" s="124">
        <f t="shared" si="17"/>
        <v>3.9997333223240616E-8</v>
      </c>
      <c r="F175" s="49">
        <f t="shared" si="23"/>
        <v>0</v>
      </c>
      <c r="K175" s="1">
        <v>170</v>
      </c>
      <c r="L175" s="1">
        <f t="shared" si="18"/>
        <v>-0.52906465349590026</v>
      </c>
      <c r="M175" s="122">
        <f t="shared" si="20"/>
        <v>0.70000000000000118</v>
      </c>
      <c r="N175" s="1">
        <f t="shared" si="19"/>
        <v>0.47093534650409979</v>
      </c>
    </row>
    <row r="176" spans="1:14" x14ac:dyDescent="0.2">
      <c r="A176" s="123">
        <v>171</v>
      </c>
      <c r="B176" s="118">
        <f t="shared" si="21"/>
        <v>-2.0000000000003508E-4</v>
      </c>
      <c r="C176" s="123">
        <f t="shared" si="16"/>
        <v>0.99999996000266678</v>
      </c>
      <c r="D176" s="117">
        <f t="shared" si="22"/>
        <v>-2.0000000000000001E-4</v>
      </c>
      <c r="E176" s="124">
        <f t="shared" si="17"/>
        <v>3.9997333223240616E-8</v>
      </c>
      <c r="F176" s="49">
        <f t="shared" si="23"/>
        <v>0</v>
      </c>
      <c r="K176" s="1">
        <v>171</v>
      </c>
      <c r="L176" s="1">
        <f t="shared" si="18"/>
        <v>-0.54301218161399745</v>
      </c>
      <c r="M176" s="122">
        <f t="shared" si="20"/>
        <v>0.71000000000000119</v>
      </c>
      <c r="N176" s="1">
        <f t="shared" si="19"/>
        <v>0.4569878183860025</v>
      </c>
    </row>
    <row r="177" spans="1:14" x14ac:dyDescent="0.2">
      <c r="A177" s="123">
        <v>172</v>
      </c>
      <c r="B177" s="118">
        <f t="shared" si="21"/>
        <v>-2.0000000000003508E-4</v>
      </c>
      <c r="C177" s="123">
        <f t="shared" si="16"/>
        <v>0.99999996000266678</v>
      </c>
      <c r="D177" s="117">
        <f t="shared" si="22"/>
        <v>-2.0000000000000001E-4</v>
      </c>
      <c r="E177" s="124">
        <f t="shared" si="17"/>
        <v>3.9997333223240616E-8</v>
      </c>
      <c r="F177" s="49">
        <f t="shared" si="23"/>
        <v>0</v>
      </c>
      <c r="K177" s="1">
        <v>172</v>
      </c>
      <c r="L177" s="1">
        <f t="shared" si="18"/>
        <v>-0.5570208489061983</v>
      </c>
      <c r="M177" s="122">
        <f t="shared" si="20"/>
        <v>0.72000000000000119</v>
      </c>
      <c r="N177" s="1">
        <f t="shared" si="19"/>
        <v>0.4429791510938017</v>
      </c>
    </row>
    <row r="178" spans="1:14" x14ac:dyDescent="0.2">
      <c r="A178" s="123">
        <v>173</v>
      </c>
      <c r="B178" s="118">
        <f t="shared" si="21"/>
        <v>-2.0000000000003508E-4</v>
      </c>
      <c r="C178" s="123">
        <f t="shared" si="16"/>
        <v>0.99999996000266678</v>
      </c>
      <c r="D178" s="117">
        <f t="shared" si="22"/>
        <v>-2.0000000000000001E-4</v>
      </c>
      <c r="E178" s="124">
        <f t="shared" si="17"/>
        <v>3.9997333223240616E-8</v>
      </c>
      <c r="F178" s="49">
        <f t="shared" si="23"/>
        <v>0</v>
      </c>
      <c r="K178" s="1">
        <v>173</v>
      </c>
      <c r="L178" s="1">
        <f t="shared" si="18"/>
        <v>-0.57108058955550511</v>
      </c>
      <c r="M178" s="122">
        <f t="shared" si="20"/>
        <v>0.7300000000000012</v>
      </c>
      <c r="N178" s="1">
        <f t="shared" si="19"/>
        <v>0.42891941044449489</v>
      </c>
    </row>
    <row r="179" spans="1:14" x14ac:dyDescent="0.2">
      <c r="A179" s="123">
        <v>174</v>
      </c>
      <c r="B179" s="118">
        <f t="shared" si="21"/>
        <v>-2.0000000000003508E-4</v>
      </c>
      <c r="C179" s="123">
        <f t="shared" si="16"/>
        <v>0.99999996000266678</v>
      </c>
      <c r="D179" s="117">
        <f t="shared" si="22"/>
        <v>-2.0000000000000001E-4</v>
      </c>
      <c r="E179" s="124">
        <f t="shared" si="17"/>
        <v>3.9997333223240616E-8</v>
      </c>
      <c r="F179" s="49">
        <f t="shared" si="23"/>
        <v>0</v>
      </c>
      <c r="K179" s="1">
        <v>174</v>
      </c>
      <c r="L179" s="1">
        <f t="shared" si="18"/>
        <v>-0.58518093851036268</v>
      </c>
      <c r="M179" s="122">
        <f t="shared" si="20"/>
        <v>0.74000000000000121</v>
      </c>
      <c r="N179" s="1">
        <f t="shared" si="19"/>
        <v>0.41481906148963732</v>
      </c>
    </row>
    <row r="180" spans="1:14" x14ac:dyDescent="0.2">
      <c r="A180" s="123">
        <v>175</v>
      </c>
      <c r="B180" s="118">
        <f t="shared" si="21"/>
        <v>-2.0000000000003508E-4</v>
      </c>
      <c r="C180" s="123">
        <f t="shared" si="16"/>
        <v>0.99999996000266678</v>
      </c>
      <c r="D180" s="117">
        <f t="shared" si="22"/>
        <v>-2.0000000000000001E-4</v>
      </c>
      <c r="E180" s="124">
        <f t="shared" si="17"/>
        <v>3.9997333223240616E-8</v>
      </c>
      <c r="F180" s="49">
        <f t="shared" si="23"/>
        <v>0</v>
      </c>
      <c r="K180" s="1">
        <v>175</v>
      </c>
      <c r="L180" s="1">
        <f t="shared" si="18"/>
        <v>-0.59931102103164791</v>
      </c>
      <c r="M180" s="122">
        <f t="shared" si="20"/>
        <v>0.75000000000000122</v>
      </c>
      <c r="N180" s="1">
        <f t="shared" si="19"/>
        <v>0.40068897896835215</v>
      </c>
    </row>
    <row r="181" spans="1:14" x14ac:dyDescent="0.2">
      <c r="A181" s="123">
        <v>176</v>
      </c>
      <c r="B181" s="118">
        <f t="shared" si="21"/>
        <v>-2.0000000000003508E-4</v>
      </c>
      <c r="C181" s="123">
        <f t="shared" si="16"/>
        <v>0.99999996000266678</v>
      </c>
      <c r="D181" s="117">
        <f t="shared" si="22"/>
        <v>-2.0000000000000001E-4</v>
      </c>
      <c r="E181" s="124">
        <f t="shared" si="17"/>
        <v>3.9997333223240616E-8</v>
      </c>
      <c r="F181" s="49">
        <f t="shared" si="23"/>
        <v>0</v>
      </c>
      <c r="K181" s="1">
        <v>176</v>
      </c>
      <c r="L181" s="1">
        <f t="shared" si="18"/>
        <v>-0.61345954200028108</v>
      </c>
      <c r="M181" s="122">
        <f t="shared" si="20"/>
        <v>0.76000000000000123</v>
      </c>
      <c r="N181" s="1">
        <f t="shared" si="19"/>
        <v>0.38654045799971898</v>
      </c>
    </row>
    <row r="182" spans="1:14" x14ac:dyDescent="0.2">
      <c r="A182" s="123">
        <v>177</v>
      </c>
      <c r="B182" s="118">
        <f t="shared" si="21"/>
        <v>-2.0000000000003508E-4</v>
      </c>
      <c r="C182" s="123">
        <f t="shared" si="16"/>
        <v>0.99999996000266678</v>
      </c>
      <c r="D182" s="117">
        <f t="shared" si="22"/>
        <v>-2.0000000000000001E-4</v>
      </c>
      <c r="E182" s="124">
        <f t="shared" si="17"/>
        <v>3.9997333223240616E-8</v>
      </c>
      <c r="F182" s="49">
        <f t="shared" si="23"/>
        <v>0</v>
      </c>
      <c r="K182" s="1">
        <v>177</v>
      </c>
      <c r="L182" s="1">
        <f t="shared" si="18"/>
        <v>-0.62761477498030516</v>
      </c>
      <c r="M182" s="122">
        <f t="shared" si="20"/>
        <v>0.77000000000000124</v>
      </c>
      <c r="N182" s="1">
        <f t="shared" si="19"/>
        <v>0.37238522501969484</v>
      </c>
    </row>
    <row r="183" spans="1:14" x14ac:dyDescent="0.2">
      <c r="A183" s="123">
        <v>178</v>
      </c>
      <c r="B183" s="118">
        <f t="shared" si="21"/>
        <v>-2.0000000000003508E-4</v>
      </c>
      <c r="C183" s="123">
        <f t="shared" si="16"/>
        <v>0.99999996000266678</v>
      </c>
      <c r="D183" s="117">
        <f t="shared" si="22"/>
        <v>-2.0000000000000001E-4</v>
      </c>
      <c r="E183" s="124">
        <f t="shared" si="17"/>
        <v>3.9997333223240616E-8</v>
      </c>
      <c r="F183" s="49">
        <f t="shared" si="23"/>
        <v>0</v>
      </c>
      <c r="K183" s="1">
        <v>178</v>
      </c>
      <c r="L183" s="1">
        <f t="shared" si="18"/>
        <v>-0.64176455103214569</v>
      </c>
      <c r="M183" s="122">
        <f t="shared" si="20"/>
        <v>0.78000000000000125</v>
      </c>
      <c r="N183" s="1">
        <f t="shared" si="19"/>
        <v>0.35823544896785425</v>
      </c>
    </row>
    <row r="184" spans="1:14" x14ac:dyDescent="0.2">
      <c r="A184" s="123">
        <v>179</v>
      </c>
      <c r="B184" s="118">
        <f t="shared" si="21"/>
        <v>-2.0000000000003508E-4</v>
      </c>
      <c r="C184" s="123">
        <f t="shared" si="16"/>
        <v>0.99999996000266678</v>
      </c>
      <c r="D184" s="117">
        <f t="shared" si="22"/>
        <v>-2.0000000000000001E-4</v>
      </c>
      <c r="E184" s="124">
        <f t="shared" si="17"/>
        <v>3.9997333223240616E-8</v>
      </c>
      <c r="F184" s="49">
        <f t="shared" si="23"/>
        <v>0</v>
      </c>
      <c r="K184" s="1">
        <v>179</v>
      </c>
      <c r="L184" s="1">
        <f t="shared" si="18"/>
        <v>-0.65589624727069518</v>
      </c>
      <c r="M184" s="122">
        <f t="shared" si="20"/>
        <v>0.79000000000000126</v>
      </c>
      <c r="N184" s="1">
        <f t="shared" si="19"/>
        <v>0.34410375272930482</v>
      </c>
    </row>
    <row r="185" spans="1:14" x14ac:dyDescent="0.2">
      <c r="A185" s="123">
        <v>180</v>
      </c>
      <c r="B185" s="118">
        <f t="shared" si="21"/>
        <v>-2.0000000000003508E-4</v>
      </c>
      <c r="C185" s="123">
        <f t="shared" si="16"/>
        <v>0.99999996000266678</v>
      </c>
      <c r="D185" s="117">
        <f t="shared" si="22"/>
        <v>-2.0000000000000001E-4</v>
      </c>
      <c r="E185" s="124">
        <f t="shared" si="17"/>
        <v>3.9997333223240616E-8</v>
      </c>
      <c r="F185" s="49">
        <f t="shared" si="23"/>
        <v>0</v>
      </c>
      <c r="K185" s="1">
        <v>180</v>
      </c>
      <c r="L185" s="1">
        <f t="shared" si="18"/>
        <v>-0.66999677516270562</v>
      </c>
      <c r="M185" s="122">
        <f t="shared" si="20"/>
        <v>0.80000000000000127</v>
      </c>
      <c r="N185" s="1">
        <f t="shared" si="19"/>
        <v>0.33000322483729433</v>
      </c>
    </row>
    <row r="186" spans="1:14" x14ac:dyDescent="0.2">
      <c r="A186" s="123">
        <v>181</v>
      </c>
      <c r="B186" s="118">
        <f t="shared" si="21"/>
        <v>-2.0000000000003508E-4</v>
      </c>
      <c r="C186" s="123">
        <f t="shared" si="16"/>
        <v>0.99999996000266678</v>
      </c>
      <c r="D186" s="117">
        <f t="shared" si="22"/>
        <v>-2.0000000000000001E-4</v>
      </c>
      <c r="E186" s="124">
        <f t="shared" si="17"/>
        <v>3.9997333223240616E-8</v>
      </c>
      <c r="F186" s="49">
        <f t="shared" si="23"/>
        <v>0</v>
      </c>
      <c r="K186" s="1">
        <v>181</v>
      </c>
      <c r="L186" s="1">
        <f t="shared" si="18"/>
        <v>-0.68405256855790408</v>
      </c>
      <c r="M186" s="122">
        <f t="shared" si="20"/>
        <v>0.81000000000000127</v>
      </c>
      <c r="N186" s="1">
        <f t="shared" si="19"/>
        <v>0.31594743144209592</v>
      </c>
    </row>
    <row r="187" spans="1:14" x14ac:dyDescent="0.2">
      <c r="A187" s="123">
        <v>182</v>
      </c>
      <c r="B187" s="118">
        <f t="shared" si="21"/>
        <v>-2.0000000000003508E-4</v>
      </c>
      <c r="C187" s="123">
        <f t="shared" si="16"/>
        <v>0.99999996000266678</v>
      </c>
      <c r="D187" s="117">
        <f t="shared" si="22"/>
        <v>-2.0000000000000001E-4</v>
      </c>
      <c r="E187" s="124">
        <f t="shared" si="17"/>
        <v>3.9997333223240616E-8</v>
      </c>
      <c r="F187" s="49">
        <f t="shared" si="23"/>
        <v>0</v>
      </c>
      <c r="K187" s="1">
        <v>182</v>
      </c>
      <c r="L187" s="1">
        <f t="shared" si="18"/>
        <v>-0.69804957144808943</v>
      </c>
      <c r="M187" s="122">
        <f t="shared" si="20"/>
        <v>0.82000000000000128</v>
      </c>
      <c r="N187" s="1">
        <f t="shared" si="19"/>
        <v>0.30195042855191051</v>
      </c>
    </row>
    <row r="188" spans="1:14" x14ac:dyDescent="0.2">
      <c r="A188" s="123">
        <v>183</v>
      </c>
      <c r="B188" s="118">
        <f t="shared" si="21"/>
        <v>-2.0000000000003508E-4</v>
      </c>
      <c r="C188" s="123">
        <f t="shared" si="16"/>
        <v>0.99999996000266678</v>
      </c>
      <c r="D188" s="117">
        <f t="shared" si="22"/>
        <v>-2.0000000000000001E-4</v>
      </c>
      <c r="E188" s="124">
        <f t="shared" si="17"/>
        <v>3.9997333223240616E-8</v>
      </c>
      <c r="F188" s="49">
        <f t="shared" si="23"/>
        <v>0</v>
      </c>
      <c r="K188" s="1">
        <v>183</v>
      </c>
      <c r="L188" s="1">
        <f t="shared" si="18"/>
        <v>-0.71197322544837804</v>
      </c>
      <c r="M188" s="122">
        <f t="shared" si="20"/>
        <v>0.83000000000000129</v>
      </c>
      <c r="N188" s="1">
        <f t="shared" si="19"/>
        <v>0.28802677455162196</v>
      </c>
    </row>
    <row r="189" spans="1:14" x14ac:dyDescent="0.2">
      <c r="A189" s="123">
        <v>184</v>
      </c>
      <c r="B189" s="118">
        <f t="shared" si="21"/>
        <v>-2.0000000000003508E-4</v>
      </c>
      <c r="C189" s="123">
        <f t="shared" si="16"/>
        <v>0.99999996000266678</v>
      </c>
      <c r="D189" s="117">
        <f t="shared" si="22"/>
        <v>-2.0000000000000001E-4</v>
      </c>
      <c r="E189" s="124">
        <f t="shared" si="17"/>
        <v>3.9997333223240616E-8</v>
      </c>
      <c r="F189" s="49">
        <f t="shared" si="23"/>
        <v>0</v>
      </c>
      <c r="K189" s="1">
        <v>184</v>
      </c>
      <c r="L189" s="1">
        <f t="shared" si="18"/>
        <v>-0.72580845699462793</v>
      </c>
      <c r="M189" s="122">
        <f t="shared" si="20"/>
        <v>0.8400000000000013</v>
      </c>
      <c r="N189" s="1">
        <f t="shared" si="19"/>
        <v>0.27419154300537207</v>
      </c>
    </row>
    <row r="190" spans="1:14" x14ac:dyDescent="0.2">
      <c r="A190" s="123">
        <v>185</v>
      </c>
      <c r="B190" s="118">
        <f t="shared" si="21"/>
        <v>-2.0000000000003508E-4</v>
      </c>
      <c r="C190" s="123">
        <f t="shared" si="16"/>
        <v>0.99999996000266678</v>
      </c>
      <c r="D190" s="117">
        <f t="shared" si="22"/>
        <v>-2.0000000000000001E-4</v>
      </c>
      <c r="E190" s="124">
        <f t="shared" si="17"/>
        <v>3.9997333223240616E-8</v>
      </c>
      <c r="F190" s="49">
        <f t="shared" si="23"/>
        <v>0</v>
      </c>
      <c r="K190" s="1">
        <v>185</v>
      </c>
      <c r="L190" s="1">
        <f t="shared" si="18"/>
        <v>-0.73953966425095019</v>
      </c>
      <c r="M190" s="122">
        <f t="shared" si="20"/>
        <v>0.85000000000000131</v>
      </c>
      <c r="N190" s="1">
        <f t="shared" si="19"/>
        <v>0.26046033574904975</v>
      </c>
    </row>
    <row r="191" spans="1:14" x14ac:dyDescent="0.2">
      <c r="A191" s="123">
        <v>186</v>
      </c>
      <c r="B191" s="118">
        <f t="shared" si="21"/>
        <v>-2.0000000000003508E-4</v>
      </c>
      <c r="C191" s="123">
        <f t="shared" si="16"/>
        <v>0.99999996000266678</v>
      </c>
      <c r="D191" s="117">
        <f t="shared" si="22"/>
        <v>-2.0000000000000001E-4</v>
      </c>
      <c r="E191" s="124">
        <f t="shared" si="17"/>
        <v>3.9997333223240616E-8</v>
      </c>
      <c r="F191" s="49">
        <f t="shared" si="23"/>
        <v>0</v>
      </c>
      <c r="K191" s="1">
        <v>186</v>
      </c>
      <c r="L191" s="1">
        <f t="shared" si="18"/>
        <v>-0.75315070372109472</v>
      </c>
      <c r="M191" s="122">
        <f t="shared" si="20"/>
        <v>0.86000000000000132</v>
      </c>
      <c r="N191" s="1">
        <f t="shared" si="19"/>
        <v>0.24684929627890534</v>
      </c>
    </row>
    <row r="192" spans="1:14" x14ac:dyDescent="0.2">
      <c r="A192" s="123">
        <v>187</v>
      </c>
      <c r="B192" s="118">
        <f t="shared" si="21"/>
        <v>-2.0000000000003508E-4</v>
      </c>
      <c r="C192" s="123">
        <f t="shared" si="16"/>
        <v>0.99999996000266678</v>
      </c>
      <c r="D192" s="117">
        <f t="shared" si="22"/>
        <v>-2.0000000000000001E-4</v>
      </c>
      <c r="E192" s="124">
        <f t="shared" si="17"/>
        <v>3.9997333223240616E-8</v>
      </c>
      <c r="F192" s="49">
        <f t="shared" si="23"/>
        <v>0</v>
      </c>
      <c r="K192" s="1">
        <v>187</v>
      </c>
      <c r="L192" s="1">
        <f t="shared" si="18"/>
        <v>-0.76662487655735911</v>
      </c>
      <c r="M192" s="122">
        <f t="shared" si="20"/>
        <v>0.87000000000000133</v>
      </c>
      <c r="N192" s="1">
        <f t="shared" si="19"/>
        <v>0.23337512344264094</v>
      </c>
    </row>
    <row r="193" spans="1:14" x14ac:dyDescent="0.2">
      <c r="A193" s="123">
        <v>188</v>
      </c>
      <c r="B193" s="118">
        <f t="shared" si="21"/>
        <v>-2.0000000000003508E-4</v>
      </c>
      <c r="C193" s="123">
        <f t="shared" si="16"/>
        <v>0.99999996000266678</v>
      </c>
      <c r="D193" s="117">
        <f t="shared" si="22"/>
        <v>-2.0000000000000001E-4</v>
      </c>
      <c r="E193" s="124">
        <f t="shared" si="17"/>
        <v>3.9997333223240616E-8</v>
      </c>
      <c r="F193" s="49">
        <f t="shared" si="23"/>
        <v>0</v>
      </c>
      <c r="K193" s="1">
        <v>188</v>
      </c>
      <c r="L193" s="1">
        <f t="shared" si="18"/>
        <v>-0.77994491456054205</v>
      </c>
      <c r="M193" s="122">
        <f t="shared" si="20"/>
        <v>0.88000000000000134</v>
      </c>
      <c r="N193" s="1">
        <f t="shared" si="19"/>
        <v>0.22005508543945793</v>
      </c>
    </row>
    <row r="194" spans="1:14" x14ac:dyDescent="0.2">
      <c r="A194" s="123">
        <v>189</v>
      </c>
      <c r="B194" s="118">
        <f t="shared" si="21"/>
        <v>-2.0000000000003508E-4</v>
      </c>
      <c r="C194" s="123">
        <f t="shared" si="16"/>
        <v>0.99999996000266678</v>
      </c>
      <c r="D194" s="117">
        <f t="shared" si="22"/>
        <v>-2.0000000000000001E-4</v>
      </c>
      <c r="E194" s="124">
        <f t="shared" si="17"/>
        <v>3.9997333223240616E-8</v>
      </c>
      <c r="F194" s="49">
        <f t="shared" si="23"/>
        <v>0</v>
      </c>
      <c r="K194" s="1">
        <v>189</v>
      </c>
      <c r="L194" s="1">
        <f t="shared" si="18"/>
        <v>-0.79309296586433065</v>
      </c>
      <c r="M194" s="122">
        <f t="shared" si="20"/>
        <v>0.89000000000000135</v>
      </c>
      <c r="N194" s="1">
        <f t="shared" si="19"/>
        <v>0.2069070341356693</v>
      </c>
    </row>
    <row r="195" spans="1:14" x14ac:dyDescent="0.2">
      <c r="A195" s="123">
        <v>190</v>
      </c>
      <c r="B195" s="118">
        <f t="shared" si="21"/>
        <v>-2.0000000000003508E-4</v>
      </c>
      <c r="C195" s="123">
        <f t="shared" si="16"/>
        <v>0.99999996000266678</v>
      </c>
      <c r="D195" s="117">
        <f t="shared" si="22"/>
        <v>-2.0000000000000001E-4</v>
      </c>
      <c r="E195" s="124">
        <f t="shared" si="17"/>
        <v>3.9997333223240616E-8</v>
      </c>
      <c r="F195" s="49">
        <f t="shared" si="23"/>
        <v>0</v>
      </c>
      <c r="K195" s="1">
        <v>190</v>
      </c>
      <c r="L195" s="1">
        <f t="shared" si="18"/>
        <v>-0.80605058029736365</v>
      </c>
      <c r="M195" s="122">
        <f t="shared" si="20"/>
        <v>0.90000000000000135</v>
      </c>
      <c r="N195" s="1">
        <f t="shared" si="19"/>
        <v>0.19394941970263632</v>
      </c>
    </row>
    <row r="196" spans="1:14" x14ac:dyDescent="0.2">
      <c r="A196" s="123">
        <v>191</v>
      </c>
      <c r="B196" s="118">
        <f t="shared" si="21"/>
        <v>-2.0000000000003508E-4</v>
      </c>
      <c r="C196" s="123">
        <f t="shared" si="16"/>
        <v>0.99999996000266678</v>
      </c>
      <c r="D196" s="117">
        <f t="shared" si="22"/>
        <v>-2.0000000000000001E-4</v>
      </c>
      <c r="E196" s="124">
        <f t="shared" si="17"/>
        <v>3.9997333223240616E-8</v>
      </c>
      <c r="F196" s="49">
        <f t="shared" si="23"/>
        <v>0</v>
      </c>
      <c r="K196" s="1">
        <v>191</v>
      </c>
      <c r="L196" s="1">
        <f t="shared" si="18"/>
        <v>-0.81879869441608122</v>
      </c>
      <c r="M196" s="122">
        <f t="shared" si="20"/>
        <v>0.91000000000000136</v>
      </c>
      <c r="N196" s="1">
        <f t="shared" si="19"/>
        <v>0.18120130558391884</v>
      </c>
    </row>
    <row r="197" spans="1:14" x14ac:dyDescent="0.2">
      <c r="A197" s="123">
        <v>192</v>
      </c>
      <c r="B197" s="118">
        <f t="shared" si="21"/>
        <v>-2.0000000000003508E-4</v>
      </c>
      <c r="C197" s="123">
        <f t="shared" si="16"/>
        <v>0.99999996000266678</v>
      </c>
      <c r="D197" s="117">
        <f t="shared" si="22"/>
        <v>-2.0000000000000001E-4</v>
      </c>
      <c r="E197" s="124">
        <f t="shared" si="17"/>
        <v>3.9997333223240616E-8</v>
      </c>
      <c r="F197" s="49">
        <f t="shared" si="23"/>
        <v>0</v>
      </c>
      <c r="K197" s="1">
        <v>192</v>
      </c>
      <c r="L197" s="1">
        <f t="shared" si="18"/>
        <v>-0.83131761620132316</v>
      </c>
      <c r="M197" s="122">
        <f t="shared" si="20"/>
        <v>0.92000000000000137</v>
      </c>
      <c r="N197" s="1">
        <f t="shared" si="19"/>
        <v>0.16868238379867678</v>
      </c>
    </row>
    <row r="198" spans="1:14" x14ac:dyDescent="0.2">
      <c r="A198" s="123">
        <v>193</v>
      </c>
      <c r="B198" s="118">
        <f t="shared" si="21"/>
        <v>-2.0000000000003508E-4</v>
      </c>
      <c r="C198" s="123">
        <f t="shared" ref="C198:C205" si="24">(EXP(B198)-2-B198)^2</f>
        <v>0.99999996000266678</v>
      </c>
      <c r="D198" s="117">
        <f t="shared" si="22"/>
        <v>-2.0000000000000001E-4</v>
      </c>
      <c r="E198" s="124">
        <f t="shared" ref="E198:E205" si="25">$R$5-C198</f>
        <v>3.9997333223240616E-8</v>
      </c>
      <c r="F198" s="49">
        <f t="shared" si="23"/>
        <v>0</v>
      </c>
      <c r="K198" s="1">
        <v>193</v>
      </c>
      <c r="L198" s="1">
        <f t="shared" ref="L198:L205" si="26">N198-$R$5</f>
        <v>-0.843587009411496</v>
      </c>
      <c r="M198" s="122">
        <f t="shared" si="20"/>
        <v>0.93000000000000138</v>
      </c>
      <c r="N198" s="1">
        <f t="shared" ref="N198:N205" si="27">(EXP(M198)-2-M198)^2</f>
        <v>0.156412990588504</v>
      </c>
    </row>
    <row r="199" spans="1:14" x14ac:dyDescent="0.2">
      <c r="A199" s="123">
        <v>194</v>
      </c>
      <c r="B199" s="118">
        <f t="shared" si="21"/>
        <v>-2.0000000000003508E-4</v>
      </c>
      <c r="C199" s="123">
        <f t="shared" si="24"/>
        <v>0.99999996000266678</v>
      </c>
      <c r="D199" s="117">
        <f t="shared" si="22"/>
        <v>-2.0000000000000001E-4</v>
      </c>
      <c r="E199" s="124">
        <f t="shared" si="25"/>
        <v>3.9997333223240616E-8</v>
      </c>
      <c r="F199" s="49">
        <f t="shared" si="23"/>
        <v>0</v>
      </c>
      <c r="K199" s="1">
        <v>194</v>
      </c>
      <c r="L199" s="1">
        <f t="shared" si="26"/>
        <v>-0.8555858775849694</v>
      </c>
      <c r="M199" s="122">
        <f t="shared" ref="M199:M205" si="28">M198+$O$5</f>
        <v>0.94000000000000139</v>
      </c>
      <c r="N199" s="1">
        <f t="shared" si="27"/>
        <v>0.14441412241503065</v>
      </c>
    </row>
    <row r="200" spans="1:14" x14ac:dyDescent="0.2">
      <c r="A200" s="123">
        <v>195</v>
      </c>
      <c r="B200" s="118">
        <f t="shared" ref="B200:B205" si="29">IF(C199&lt;=C198,
         IF(ABS(D199)&lt;=($G$5/$I$5),
                         B199,
                         B199+D200),
         B199+D200)</f>
        <v>-2.0000000000003508E-4</v>
      </c>
      <c r="C200" s="123">
        <f t="shared" si="24"/>
        <v>0.99999996000266678</v>
      </c>
      <c r="D200" s="117">
        <f t="shared" ref="D200:D205" si="30">IF(C199&lt;=C198,
         IF(ABS(D199)&lt;=($G$5/$I$5),
                         D199,
                         -D199/$I$5),
         D199)</f>
        <v>-2.0000000000000001E-4</v>
      </c>
      <c r="E200" s="124">
        <f t="shared" si="25"/>
        <v>3.9997333223240616E-8</v>
      </c>
      <c r="F200" s="49">
        <f t="shared" si="23"/>
        <v>0</v>
      </c>
      <c r="K200" s="1">
        <v>195</v>
      </c>
      <c r="L200" s="1">
        <f t="shared" si="26"/>
        <v>-0.86729254768422481</v>
      </c>
      <c r="M200" s="122">
        <f t="shared" si="28"/>
        <v>0.9500000000000014</v>
      </c>
      <c r="N200" s="1">
        <f t="shared" si="27"/>
        <v>0.13270745231577513</v>
      </c>
    </row>
    <row r="201" spans="1:14" x14ac:dyDescent="0.2">
      <c r="A201" s="123">
        <v>196</v>
      </c>
      <c r="B201" s="118">
        <f t="shared" si="29"/>
        <v>-2.0000000000003508E-4</v>
      </c>
      <c r="C201" s="123">
        <f t="shared" si="24"/>
        <v>0.99999996000266678</v>
      </c>
      <c r="D201" s="117">
        <f t="shared" si="30"/>
        <v>-2.0000000000000001E-4</v>
      </c>
      <c r="E201" s="124">
        <f t="shared" si="25"/>
        <v>3.9997333223240616E-8</v>
      </c>
      <c r="F201" s="49">
        <f>ABS(B201-B200)</f>
        <v>0</v>
      </c>
      <c r="K201" s="1">
        <v>196</v>
      </c>
      <c r="L201" s="1">
        <f t="shared" si="26"/>
        <v>-0.87868465337410862</v>
      </c>
      <c r="M201" s="122">
        <f t="shared" si="28"/>
        <v>0.96000000000000141</v>
      </c>
      <c r="N201" s="1">
        <f t="shared" si="27"/>
        <v>0.12131534662589137</v>
      </c>
    </row>
    <row r="202" spans="1:14" x14ac:dyDescent="0.2">
      <c r="A202" s="123">
        <v>197</v>
      </c>
      <c r="B202" s="118">
        <f t="shared" si="29"/>
        <v>-2.0000000000003508E-4</v>
      </c>
      <c r="C202" s="123">
        <f t="shared" si="24"/>
        <v>0.99999996000266678</v>
      </c>
      <c r="D202" s="117">
        <f t="shared" si="30"/>
        <v>-2.0000000000000001E-4</v>
      </c>
      <c r="E202" s="124">
        <f t="shared" si="25"/>
        <v>3.9997333223240616E-8</v>
      </c>
      <c r="F202" s="49">
        <f>ABS(B202-B201)</f>
        <v>0</v>
      </c>
      <c r="K202" s="1">
        <v>197</v>
      </c>
      <c r="L202" s="1">
        <f t="shared" si="26"/>
        <v>-0.88973911792639537</v>
      </c>
      <c r="M202" s="122">
        <f t="shared" si="28"/>
        <v>0.97000000000000142</v>
      </c>
      <c r="N202" s="1">
        <f t="shared" si="27"/>
        <v>0.11026088207360463</v>
      </c>
    </row>
    <row r="203" spans="1:14" x14ac:dyDescent="0.2">
      <c r="A203" s="123">
        <v>198</v>
      </c>
      <c r="B203" s="118">
        <f t="shared" si="29"/>
        <v>-2.0000000000003508E-4</v>
      </c>
      <c r="C203" s="123">
        <f t="shared" si="24"/>
        <v>0.99999996000266678</v>
      </c>
      <c r="D203" s="117">
        <f t="shared" si="30"/>
        <v>-2.0000000000000001E-4</v>
      </c>
      <c r="E203" s="124">
        <f t="shared" si="25"/>
        <v>3.9997333223240616E-8</v>
      </c>
      <c r="F203" s="49">
        <f>ABS(B203-B202)</f>
        <v>0</v>
      </c>
      <c r="K203" s="1">
        <v>198</v>
      </c>
      <c r="L203" s="1">
        <f t="shared" si="26"/>
        <v>-0.90043213674269496</v>
      </c>
      <c r="M203" s="122">
        <f t="shared" si="28"/>
        <v>0.98000000000000143</v>
      </c>
      <c r="N203" s="1">
        <f t="shared" si="27"/>
        <v>9.9567863257305073E-2</v>
      </c>
    </row>
    <row r="204" spans="1:14" x14ac:dyDescent="0.2">
      <c r="A204" s="123">
        <v>199</v>
      </c>
      <c r="B204" s="118">
        <f t="shared" si="29"/>
        <v>-2.0000000000003508E-4</v>
      </c>
      <c r="C204" s="123">
        <f t="shared" si="24"/>
        <v>0.99999996000266678</v>
      </c>
      <c r="D204" s="117">
        <f t="shared" si="30"/>
        <v>-2.0000000000000001E-4</v>
      </c>
      <c r="E204" s="124">
        <f t="shared" si="25"/>
        <v>3.9997333223240616E-8</v>
      </c>
      <c r="F204" s="49">
        <f>ABS(B204-B203)</f>
        <v>0</v>
      </c>
      <c r="K204" s="1">
        <v>199</v>
      </c>
      <c r="L204" s="1">
        <f t="shared" si="26"/>
        <v>-0.91073915948757767</v>
      </c>
      <c r="M204" s="122">
        <f t="shared" si="28"/>
        <v>0.99000000000000143</v>
      </c>
      <c r="N204" s="1">
        <f t="shared" si="27"/>
        <v>8.9260840512422335E-2</v>
      </c>
    </row>
    <row r="205" spans="1:14" x14ac:dyDescent="0.2">
      <c r="A205" s="123">
        <v>200</v>
      </c>
      <c r="B205" s="118">
        <f t="shared" si="29"/>
        <v>-2.0000000000003508E-4</v>
      </c>
      <c r="C205" s="123">
        <f t="shared" si="24"/>
        <v>0.99999996000266678</v>
      </c>
      <c r="D205" s="117">
        <f t="shared" si="30"/>
        <v>-2.0000000000000001E-4</v>
      </c>
      <c r="E205" s="124">
        <f t="shared" si="25"/>
        <v>3.9997333223240616E-8</v>
      </c>
      <c r="F205" s="49">
        <f>ABS(B205-B204)</f>
        <v>0</v>
      </c>
      <c r="K205" s="1">
        <v>200</v>
      </c>
      <c r="L205" s="1">
        <f t="shared" si="26"/>
        <v>-0.92063487182362236</v>
      </c>
      <c r="M205" s="122">
        <f t="shared" si="28"/>
        <v>1.0000000000000013</v>
      </c>
      <c r="N205" s="1">
        <f t="shared" si="27"/>
        <v>7.9365128176377642E-2</v>
      </c>
    </row>
  </sheetData>
  <phoneticPr fontId="2" type="noConversion"/>
  <conditionalFormatting sqref="K5:N205">
    <cfRule type="expression" dxfId="10" priority="1" stopIfTrue="1">
      <formula>$N5=$R$5</formula>
    </cfRule>
  </conditionalFormatting>
  <conditionalFormatting sqref="A5:F205">
    <cfRule type="expression" dxfId="9" priority="2" stopIfTrue="1">
      <formula>$F5=0</formula>
    </cfRule>
  </conditionalFormatting>
  <pageMargins left="0.75" right="0.75" top="1" bottom="1" header="0.5" footer="0.5"/>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205"/>
  <sheetViews>
    <sheetView workbookViewId="0">
      <selection activeCell="K4" sqref="K4"/>
    </sheetView>
  </sheetViews>
  <sheetFormatPr defaultRowHeight="12.75" x14ac:dyDescent="0.2"/>
  <cols>
    <col min="1" max="1" width="4.7109375" customWidth="1"/>
    <col min="2" max="2" width="9.85546875" customWidth="1"/>
    <col min="5" max="5" width="17.85546875" customWidth="1"/>
    <col min="6" max="6" width="9.85546875" customWidth="1"/>
    <col min="7" max="7" width="11.42578125" bestFit="1" customWidth="1"/>
    <col min="8" max="8" width="8" customWidth="1"/>
    <col min="9" max="9" width="3" bestFit="1" customWidth="1"/>
    <col min="10" max="10" width="3" customWidth="1"/>
    <col min="11" max="11" width="4.85546875" customWidth="1"/>
    <col min="12" max="12" width="11.5703125" customWidth="1"/>
    <col min="16" max="16" width="12.42578125" bestFit="1" customWidth="1"/>
    <col min="17" max="17" width="12.42578125" customWidth="1"/>
    <col min="19" max="19" width="4.5703125" bestFit="1" customWidth="1"/>
    <col min="20" max="20" width="2" bestFit="1" customWidth="1"/>
    <col min="21" max="21" width="4" bestFit="1" customWidth="1"/>
  </cols>
  <sheetData>
    <row r="1" spans="1:21" x14ac:dyDescent="0.2">
      <c r="A1" s="78" t="s">
        <v>73</v>
      </c>
    </row>
    <row r="2" spans="1:21" x14ac:dyDescent="0.2">
      <c r="A2" s="78" t="s">
        <v>55</v>
      </c>
    </row>
    <row r="3" spans="1:21" ht="13.5" thickBot="1" x14ac:dyDescent="0.25">
      <c r="A3" s="85" t="s">
        <v>74</v>
      </c>
      <c r="K3" s="85" t="s">
        <v>72</v>
      </c>
      <c r="L3" s="3"/>
    </row>
    <row r="4" spans="1:21" ht="38.25" x14ac:dyDescent="0.2">
      <c r="A4" s="86" t="s">
        <v>54</v>
      </c>
      <c r="B4" s="87" t="s">
        <v>61</v>
      </c>
      <c r="C4" s="87" t="s">
        <v>62</v>
      </c>
      <c r="D4" s="87" t="s">
        <v>63</v>
      </c>
      <c r="E4" s="88" t="s">
        <v>64</v>
      </c>
      <c r="F4" s="89" t="s">
        <v>65</v>
      </c>
      <c r="G4" s="90" t="s">
        <v>16</v>
      </c>
      <c r="H4" s="91" t="s">
        <v>66</v>
      </c>
      <c r="I4" s="92" t="s">
        <v>2</v>
      </c>
      <c r="K4" s="93" t="s">
        <v>54</v>
      </c>
      <c r="L4" s="88" t="s">
        <v>67</v>
      </c>
      <c r="M4" s="88" t="s">
        <v>68</v>
      </c>
      <c r="N4" s="88" t="s">
        <v>69</v>
      </c>
      <c r="O4" s="94" t="s">
        <v>16</v>
      </c>
      <c r="P4" s="94" t="s">
        <v>56</v>
      </c>
      <c r="Q4" s="94" t="s">
        <v>60</v>
      </c>
      <c r="R4" s="94" t="s">
        <v>57</v>
      </c>
      <c r="S4" s="94" t="s">
        <v>58</v>
      </c>
      <c r="T4" s="94" t="s">
        <v>59</v>
      </c>
      <c r="U4" s="95" t="s">
        <v>1</v>
      </c>
    </row>
    <row r="5" spans="1:21" ht="13.5" thickBot="1" x14ac:dyDescent="0.25">
      <c r="A5" s="96">
        <v>0</v>
      </c>
      <c r="B5" s="97">
        <f>S5</f>
        <v>-2.5</v>
      </c>
      <c r="C5" s="98">
        <f>(EXP(B5)-2-B5)^2</f>
        <v>0.33882294562298421</v>
      </c>
      <c r="D5" s="98">
        <f>H5</f>
        <v>0.2</v>
      </c>
      <c r="E5" s="99">
        <f>$R$5-C5</f>
        <v>0.66117705437701557</v>
      </c>
      <c r="F5" s="100"/>
      <c r="G5" s="101">
        <f>O5</f>
        <v>1.2500000000000001E-2</v>
      </c>
      <c r="H5" s="102">
        <v>0.2</v>
      </c>
      <c r="I5" s="63">
        <v>10</v>
      </c>
      <c r="K5" s="14">
        <v>0</v>
      </c>
      <c r="L5" s="15">
        <f>N5-$R$5</f>
        <v>-0.66117705437701557</v>
      </c>
      <c r="M5" s="103">
        <f>S5</f>
        <v>-2.5</v>
      </c>
      <c r="N5" s="15">
        <f>(EXP(M5)-2-M5)^2</f>
        <v>0.33882294562298421</v>
      </c>
      <c r="O5" s="104">
        <f>($T$5-$S$5)/$U$5</f>
        <v>1.2500000000000001E-2</v>
      </c>
      <c r="P5" s="105">
        <f>MIN(N5:N205)</f>
        <v>1.0791445815644157E-5</v>
      </c>
      <c r="Q5" s="105"/>
      <c r="R5" s="106">
        <f>MAX(N5:N205)</f>
        <v>0.99999999999999978</v>
      </c>
      <c r="S5" s="104">
        <v>-2.5</v>
      </c>
      <c r="T5" s="107">
        <v>0</v>
      </c>
      <c r="U5" s="108">
        <v>200</v>
      </c>
    </row>
    <row r="6" spans="1:21" ht="13.5" thickBot="1" x14ac:dyDescent="0.25">
      <c r="A6" s="109">
        <v>1</v>
      </c>
      <c r="B6" s="110">
        <f>B5+$H$5</f>
        <v>-2.2999999999999998</v>
      </c>
      <c r="C6" s="111">
        <f t="shared" ref="C6:C69" si="0">(EXP(B6)-2-B6)^2</f>
        <v>0.16020714197831573</v>
      </c>
      <c r="D6" s="111">
        <f>D5</f>
        <v>0.2</v>
      </c>
      <c r="E6" s="112">
        <f t="shared" ref="E6:E69" si="1">$R$5-C6</f>
        <v>0.83979285802168402</v>
      </c>
      <c r="F6" s="113">
        <f>ABS(B6-B5)</f>
        <v>0.20000000000000018</v>
      </c>
      <c r="G6" s="114" t="s">
        <v>4</v>
      </c>
      <c r="K6" s="115">
        <v>1</v>
      </c>
      <c r="L6" s="115">
        <f t="shared" ref="L6:L69" si="2">N6-$R$5</f>
        <v>-0.67439566777927551</v>
      </c>
      <c r="M6" s="116">
        <f>M5+$O$5</f>
        <v>-2.4874999999999998</v>
      </c>
      <c r="N6" s="115">
        <f t="shared" ref="N6:N69" si="3">(EXP(M6)-2-M6)^2</f>
        <v>0.32560433222072432</v>
      </c>
    </row>
    <row r="7" spans="1:21" ht="13.5" thickBot="1" x14ac:dyDescent="0.25">
      <c r="A7" s="117">
        <v>2</v>
      </c>
      <c r="B7" s="118">
        <f>IF(C6&gt;=C5,
         IF(ABS(D6)&lt;=($G$5/$I$5),
                         B6,
                         B6+D7),
         B6+D7)</f>
        <v>-2.0999999999999996</v>
      </c>
      <c r="C7" s="117">
        <f t="shared" si="0"/>
        <v>4.9486862471073909E-2</v>
      </c>
      <c r="D7" s="117">
        <f>IF(C6&gt;=C5,
         IF(ABS(D6)&lt;=($G$5/$I$5),
                         D6,
                         -D6/$I$5),
         D6)</f>
        <v>0.2</v>
      </c>
      <c r="E7" s="119">
        <f t="shared" si="1"/>
        <v>0.95051313752892586</v>
      </c>
      <c r="F7" s="120">
        <f>ABS(B7-B6)</f>
        <v>0.20000000000000018</v>
      </c>
      <c r="G7" s="121">
        <f>VLOOKUP(53,K5:N205,3)</f>
        <v>-1.8374999999999937</v>
      </c>
      <c r="K7" s="1">
        <v>2</v>
      </c>
      <c r="L7" s="1">
        <f t="shared" si="2"/>
        <v>-0.6873367503265031</v>
      </c>
      <c r="M7" s="122">
        <f t="shared" ref="M7:M70" si="4">M6+$O$5</f>
        <v>-2.4749999999999996</v>
      </c>
      <c r="N7" s="1">
        <f t="shared" si="3"/>
        <v>0.31266324967349668</v>
      </c>
    </row>
    <row r="8" spans="1:21" x14ac:dyDescent="0.2">
      <c r="A8" s="123">
        <v>3</v>
      </c>
      <c r="B8" s="118">
        <f t="shared" ref="B8:B71" si="5">IF(C7&gt;=C6,
         IF(ABS(D7)&lt;=($G$5/$I$5),
                         B7,
                         B7+D8),
         B7+D8)</f>
        <v>-1.8999999999999997</v>
      </c>
      <c r="C8" s="123">
        <f t="shared" si="0"/>
        <v>2.457048011638558E-3</v>
      </c>
      <c r="D8" s="117">
        <f t="shared" ref="D8:D71" si="6">IF(C7&gt;=C6,
         IF(ABS(D7)&lt;=($G$5/$I$5),
                         D7,
                         -D7/$I$5),
         D7)</f>
        <v>0.2</v>
      </c>
      <c r="E8" s="124">
        <f t="shared" si="1"/>
        <v>0.99754295198836118</v>
      </c>
      <c r="F8" s="49">
        <f>ABS(B8-B7)</f>
        <v>0.19999999999999996</v>
      </c>
      <c r="K8" s="1">
        <v>3</v>
      </c>
      <c r="L8" s="1">
        <f t="shared" si="2"/>
        <v>-0.700001015644792</v>
      </c>
      <c r="M8" s="122">
        <f t="shared" si="4"/>
        <v>-2.4624999999999995</v>
      </c>
      <c r="N8" s="1">
        <f t="shared" si="3"/>
        <v>0.29999898435520783</v>
      </c>
    </row>
    <row r="9" spans="1:21" x14ac:dyDescent="0.2">
      <c r="A9" s="123">
        <v>4</v>
      </c>
      <c r="B9" s="118">
        <f t="shared" si="5"/>
        <v>-1.6999999999999997</v>
      </c>
      <c r="C9" s="123">
        <f t="shared" si="0"/>
        <v>1.3763155528685343E-2</v>
      </c>
      <c r="D9" s="117">
        <f t="shared" si="6"/>
        <v>0.2</v>
      </c>
      <c r="E9" s="124">
        <f t="shared" si="1"/>
        <v>0.98623684447131443</v>
      </c>
      <c r="F9" s="49">
        <f t="shared" ref="F9:F72" si="7">ABS(B9-B8)</f>
        <v>0.19999999999999996</v>
      </c>
      <c r="K9" s="1">
        <v>4</v>
      </c>
      <c r="L9" s="1">
        <f t="shared" si="2"/>
        <v>-0.71238918907964266</v>
      </c>
      <c r="M9" s="122">
        <f t="shared" si="4"/>
        <v>-2.4499999999999993</v>
      </c>
      <c r="N9" s="1">
        <f t="shared" si="3"/>
        <v>0.28761081092035712</v>
      </c>
    </row>
    <row r="10" spans="1:21" x14ac:dyDescent="0.2">
      <c r="A10" s="123">
        <v>5</v>
      </c>
      <c r="B10" s="118">
        <f t="shared" si="5"/>
        <v>-1.7199999999999998</v>
      </c>
      <c r="C10" s="123">
        <f t="shared" si="0"/>
        <v>1.0187642497424614E-2</v>
      </c>
      <c r="D10" s="117">
        <f t="shared" si="6"/>
        <v>-0.02</v>
      </c>
      <c r="E10" s="124">
        <f t="shared" si="1"/>
        <v>0.98981235750257512</v>
      </c>
      <c r="F10" s="49">
        <f t="shared" si="7"/>
        <v>2.0000000000000018E-2</v>
      </c>
      <c r="K10" s="1">
        <v>5</v>
      </c>
      <c r="L10" s="1">
        <f t="shared" si="2"/>
        <v>-0.72450200786014785</v>
      </c>
      <c r="M10" s="122">
        <f t="shared" si="4"/>
        <v>-2.4374999999999991</v>
      </c>
      <c r="N10" s="1">
        <f t="shared" si="3"/>
        <v>0.27549799213985188</v>
      </c>
    </row>
    <row r="11" spans="1:21" x14ac:dyDescent="0.2">
      <c r="A11" s="123">
        <v>6</v>
      </c>
      <c r="B11" s="118">
        <f t="shared" si="5"/>
        <v>-1.7399999999999998</v>
      </c>
      <c r="C11" s="123">
        <f t="shared" si="0"/>
        <v>7.1368027119127148E-3</v>
      </c>
      <c r="D11" s="117">
        <f t="shared" si="6"/>
        <v>-0.02</v>
      </c>
      <c r="E11" s="124">
        <f t="shared" si="1"/>
        <v>0.99286319728808703</v>
      </c>
      <c r="F11" s="49">
        <f t="shared" si="7"/>
        <v>2.0000000000000018E-2</v>
      </c>
      <c r="K11" s="1">
        <v>6</v>
      </c>
      <c r="L11" s="1">
        <f t="shared" si="2"/>
        <v>-0.73634022126500076</v>
      </c>
      <c r="M11" s="122">
        <f t="shared" si="4"/>
        <v>-2.4249999999999989</v>
      </c>
      <c r="N11" s="1">
        <f t="shared" si="3"/>
        <v>0.26365977873499896</v>
      </c>
    </row>
    <row r="12" spans="1:21" x14ac:dyDescent="0.2">
      <c r="A12" s="123">
        <v>7</v>
      </c>
      <c r="B12" s="118">
        <f t="shared" si="5"/>
        <v>-1.7599999999999998</v>
      </c>
      <c r="C12" s="123">
        <f t="shared" si="0"/>
        <v>4.6179005328277787E-3</v>
      </c>
      <c r="D12" s="117">
        <f t="shared" si="6"/>
        <v>-0.02</v>
      </c>
      <c r="E12" s="124">
        <f t="shared" si="1"/>
        <v>0.99538209946717204</v>
      </c>
      <c r="F12" s="49">
        <f t="shared" si="7"/>
        <v>2.0000000000000018E-2</v>
      </c>
      <c r="K12" s="1">
        <v>7</v>
      </c>
      <c r="L12" s="1">
        <f t="shared" si="2"/>
        <v>-0.74790459079034255</v>
      </c>
      <c r="M12" s="122">
        <f t="shared" si="4"/>
        <v>-2.4124999999999988</v>
      </c>
      <c r="N12" s="1">
        <f t="shared" si="3"/>
        <v>0.25209540920965728</v>
      </c>
    </row>
    <row r="13" spans="1:21" x14ac:dyDescent="0.2">
      <c r="A13" s="123">
        <v>8</v>
      </c>
      <c r="B13" s="118">
        <f t="shared" si="5"/>
        <v>-1.7799999999999998</v>
      </c>
      <c r="C13" s="123">
        <f t="shared" si="0"/>
        <v>2.638039916002493E-3</v>
      </c>
      <c r="D13" s="117">
        <f t="shared" si="6"/>
        <v>-0.02</v>
      </c>
      <c r="E13" s="124">
        <f t="shared" si="1"/>
        <v>0.99736196008399725</v>
      </c>
      <c r="F13" s="49">
        <f t="shared" si="7"/>
        <v>2.0000000000000018E-2</v>
      </c>
      <c r="K13" s="1">
        <v>8</v>
      </c>
      <c r="L13" s="1">
        <f t="shared" si="2"/>
        <v>-0.75919589031945101</v>
      </c>
      <c r="M13" s="122">
        <f t="shared" si="4"/>
        <v>-2.3999999999999986</v>
      </c>
      <c r="N13" s="1">
        <f t="shared" si="3"/>
        <v>0.2408041096805488</v>
      </c>
    </row>
    <row r="14" spans="1:21" x14ac:dyDescent="0.2">
      <c r="A14" s="123">
        <v>9</v>
      </c>
      <c r="B14" s="118">
        <f t="shared" si="5"/>
        <v>-1.7999999999999998</v>
      </c>
      <c r="C14" s="123">
        <f t="shared" si="0"/>
        <v>1.2041671586579641E-3</v>
      </c>
      <c r="D14" s="117">
        <f t="shared" si="6"/>
        <v>-0.02</v>
      </c>
      <c r="E14" s="124">
        <f t="shared" si="1"/>
        <v>0.99879583284134177</v>
      </c>
      <c r="F14" s="49">
        <f t="shared" si="7"/>
        <v>2.0000000000000018E-2</v>
      </c>
      <c r="K14" s="1">
        <v>9</v>
      </c>
      <c r="L14" s="1">
        <f t="shared" si="2"/>
        <v>-0.77021490629428468</v>
      </c>
      <c r="M14" s="122">
        <f t="shared" si="4"/>
        <v>-2.3874999999999984</v>
      </c>
      <c r="N14" s="1">
        <f t="shared" si="3"/>
        <v>0.22978509370571507</v>
      </c>
    </row>
    <row r="15" spans="1:21" x14ac:dyDescent="0.2">
      <c r="A15" s="123">
        <v>10</v>
      </c>
      <c r="B15" s="118">
        <f t="shared" si="5"/>
        <v>-1.8199999999999998</v>
      </c>
      <c r="C15" s="123">
        <f t="shared" si="0"/>
        <v>3.2307362949089561E-4</v>
      </c>
      <c r="D15" s="117">
        <f t="shared" si="6"/>
        <v>-0.02</v>
      </c>
      <c r="E15" s="124">
        <f t="shared" si="1"/>
        <v>0.99967692637050887</v>
      </c>
      <c r="F15" s="49">
        <f t="shared" si="7"/>
        <v>2.0000000000000018E-2</v>
      </c>
      <c r="G15" s="125"/>
      <c r="K15" s="1">
        <v>10</v>
      </c>
      <c r="L15" s="1">
        <f t="shared" si="2"/>
        <v>-0.78096243788888298</v>
      </c>
      <c r="M15" s="122">
        <f t="shared" si="4"/>
        <v>-2.3749999999999982</v>
      </c>
      <c r="N15" s="1">
        <f t="shared" si="3"/>
        <v>0.21903756211111677</v>
      </c>
    </row>
    <row r="16" spans="1:21" x14ac:dyDescent="0.2">
      <c r="A16" s="123">
        <v>11</v>
      </c>
      <c r="B16" s="118">
        <f t="shared" si="5"/>
        <v>-1.8399999999999999</v>
      </c>
      <c r="C16" s="123">
        <f t="shared" si="0"/>
        <v>1.3984810125932504E-6</v>
      </c>
      <c r="D16" s="117">
        <f t="shared" si="6"/>
        <v>-0.02</v>
      </c>
      <c r="E16" s="124">
        <f t="shared" si="1"/>
        <v>0.99999860151898723</v>
      </c>
      <c r="F16" s="49">
        <f t="shared" si="7"/>
        <v>2.0000000000000018E-2</v>
      </c>
      <c r="K16" s="1">
        <v>11</v>
      </c>
      <c r="L16" s="1">
        <f t="shared" si="2"/>
        <v>-0.79143929718463513</v>
      </c>
      <c r="M16" s="122">
        <f t="shared" si="4"/>
        <v>-2.362499999999998</v>
      </c>
      <c r="N16" s="1">
        <f t="shared" si="3"/>
        <v>0.20856070281536468</v>
      </c>
    </row>
    <row r="17" spans="1:14" x14ac:dyDescent="0.2">
      <c r="A17" s="123">
        <v>12</v>
      </c>
      <c r="B17" s="118">
        <f t="shared" si="5"/>
        <v>-1.8599999999999999</v>
      </c>
      <c r="C17" s="123">
        <f t="shared" si="0"/>
        <v>2.4563134265187005E-4</v>
      </c>
      <c r="D17" s="117">
        <f t="shared" si="6"/>
        <v>-0.02</v>
      </c>
      <c r="E17" s="124">
        <f t="shared" si="1"/>
        <v>0.9997543686573479</v>
      </c>
      <c r="F17" s="49">
        <f t="shared" si="7"/>
        <v>2.0000000000000018E-2</v>
      </c>
      <c r="K17" s="1">
        <v>12</v>
      </c>
      <c r="L17" s="1">
        <f t="shared" si="2"/>
        <v>-0.80164630934742087</v>
      </c>
      <c r="M17" s="122">
        <f t="shared" si="4"/>
        <v>-2.3499999999999979</v>
      </c>
      <c r="N17" s="1">
        <f t="shared" si="3"/>
        <v>0.19835369065257891</v>
      </c>
    </row>
    <row r="18" spans="1:14" x14ac:dyDescent="0.2">
      <c r="A18" s="123">
        <v>13</v>
      </c>
      <c r="B18" s="118">
        <f t="shared" si="5"/>
        <v>-1.8579999999999999</v>
      </c>
      <c r="C18" s="123">
        <f t="shared" si="0"/>
        <v>1.9556028797917756E-4</v>
      </c>
      <c r="D18" s="117">
        <f t="shared" si="6"/>
        <v>2E-3</v>
      </c>
      <c r="E18" s="124">
        <f t="shared" si="1"/>
        <v>0.9998044397120206</v>
      </c>
      <c r="F18" s="49">
        <f t="shared" si="7"/>
        <v>2.0000000000000018E-3</v>
      </c>
      <c r="K18" s="1">
        <v>13</v>
      </c>
      <c r="L18" s="1">
        <f t="shared" si="2"/>
        <v>-0.8115843128066329</v>
      </c>
      <c r="M18" s="122">
        <f t="shared" si="4"/>
        <v>-2.3374999999999977</v>
      </c>
      <c r="N18" s="1">
        <f t="shared" si="3"/>
        <v>0.18841568719336688</v>
      </c>
    </row>
    <row r="19" spans="1:14" x14ac:dyDescent="0.2">
      <c r="A19" s="123">
        <v>14</v>
      </c>
      <c r="B19" s="118">
        <f t="shared" si="5"/>
        <v>-1.8559999999999999</v>
      </c>
      <c r="C19" s="123">
        <f t="shared" si="0"/>
        <v>1.5120558292306522E-4</v>
      </c>
      <c r="D19" s="117">
        <f t="shared" si="6"/>
        <v>2E-3</v>
      </c>
      <c r="E19" s="124">
        <f t="shared" si="1"/>
        <v>0.99984879441707675</v>
      </c>
      <c r="F19" s="49">
        <f t="shared" si="7"/>
        <v>2.0000000000000018E-3</v>
      </c>
      <c r="K19" s="1">
        <v>14</v>
      </c>
      <c r="L19" s="1">
        <f t="shared" si="2"/>
        <v>-0.8212541594360806</v>
      </c>
      <c r="M19" s="122">
        <f t="shared" si="4"/>
        <v>-2.3249999999999975</v>
      </c>
      <c r="N19" s="1">
        <f t="shared" si="3"/>
        <v>0.17874584056391915</v>
      </c>
    </row>
    <row r="20" spans="1:14" x14ac:dyDescent="0.2">
      <c r="A20" s="123">
        <v>15</v>
      </c>
      <c r="B20" s="118">
        <f t="shared" si="5"/>
        <v>-1.8539999999999999</v>
      </c>
      <c r="C20" s="123">
        <f t="shared" si="0"/>
        <v>1.1256093580209503E-4</v>
      </c>
      <c r="D20" s="117">
        <f t="shared" si="6"/>
        <v>2E-3</v>
      </c>
      <c r="E20" s="124">
        <f t="shared" si="1"/>
        <v>0.99988743906419764</v>
      </c>
      <c r="F20" s="49">
        <f t="shared" si="7"/>
        <v>2.0000000000000018E-3</v>
      </c>
      <c r="K20" s="1">
        <v>15</v>
      </c>
      <c r="L20" s="1">
        <f t="shared" si="2"/>
        <v>-0.83065671473678848</v>
      </c>
      <c r="M20" s="122">
        <f t="shared" si="4"/>
        <v>-2.3124999999999973</v>
      </c>
      <c r="N20" s="1">
        <f t="shared" si="3"/>
        <v>0.16934328526321127</v>
      </c>
    </row>
    <row r="21" spans="1:14" x14ac:dyDescent="0.2">
      <c r="A21" s="123">
        <v>16</v>
      </c>
      <c r="B21" s="118">
        <f t="shared" si="5"/>
        <v>-1.8519999999999999</v>
      </c>
      <c r="C21" s="123">
        <f t="shared" si="0"/>
        <v>7.9620040462373862E-5</v>
      </c>
      <c r="D21" s="117">
        <f t="shared" si="6"/>
        <v>2E-3</v>
      </c>
      <c r="E21" s="124">
        <f t="shared" si="1"/>
        <v>0.99992037995953742</v>
      </c>
      <c r="F21" s="49">
        <f t="shared" si="7"/>
        <v>2.0000000000000018E-3</v>
      </c>
      <c r="K21" s="1">
        <v>16</v>
      </c>
      <c r="L21" s="1">
        <f t="shared" si="2"/>
        <v>-0.83979285802168602</v>
      </c>
      <c r="M21" s="122">
        <f t="shared" si="4"/>
        <v>-2.2999999999999972</v>
      </c>
      <c r="N21" s="1">
        <f t="shared" si="3"/>
        <v>0.16020714197831379</v>
      </c>
    </row>
    <row r="22" spans="1:14" x14ac:dyDescent="0.2">
      <c r="A22" s="123">
        <v>17</v>
      </c>
      <c r="B22" s="118">
        <f t="shared" si="5"/>
        <v>-1.8499999999999999</v>
      </c>
      <c r="C22" s="123">
        <f t="shared" si="0"/>
        <v>5.237657625110429E-5</v>
      </c>
      <c r="D22" s="117">
        <f t="shared" si="6"/>
        <v>2E-3</v>
      </c>
      <c r="E22" s="124">
        <f t="shared" si="1"/>
        <v>0.99994762342374865</v>
      </c>
      <c r="F22" s="49">
        <f t="shared" si="7"/>
        <v>2.0000000000000018E-3</v>
      </c>
      <c r="K22" s="1">
        <v>17</v>
      </c>
      <c r="L22" s="1">
        <f t="shared" si="2"/>
        <v>-0.84866348260219882</v>
      </c>
      <c r="M22" s="122">
        <f t="shared" si="4"/>
        <v>-2.287499999999997</v>
      </c>
      <c r="N22" s="1">
        <f t="shared" si="3"/>
        <v>0.15133651739780102</v>
      </c>
    </row>
    <row r="23" spans="1:14" x14ac:dyDescent="0.2">
      <c r="A23" s="123">
        <v>18</v>
      </c>
      <c r="B23" s="118">
        <f t="shared" si="5"/>
        <v>-1.8479999999999999</v>
      </c>
      <c r="C23" s="123">
        <f t="shared" si="0"/>
        <v>3.08242079901108E-5</v>
      </c>
      <c r="D23" s="117">
        <f t="shared" si="6"/>
        <v>2E-3</v>
      </c>
      <c r="E23" s="124">
        <f t="shared" si="1"/>
        <v>0.99996917579200961</v>
      </c>
      <c r="F23" s="49">
        <f t="shared" si="7"/>
        <v>2.0000000000000018E-3</v>
      </c>
      <c r="K23" s="1">
        <v>18</v>
      </c>
      <c r="L23" s="1">
        <f t="shared" si="2"/>
        <v>-0.85726949597674185</v>
      </c>
      <c r="M23" s="122">
        <f t="shared" si="4"/>
        <v>-2.2749999999999968</v>
      </c>
      <c r="N23" s="1">
        <f t="shared" si="3"/>
        <v>0.14273050402325796</v>
      </c>
    </row>
    <row r="24" spans="1:14" x14ac:dyDescent="0.2">
      <c r="A24" s="123">
        <v>19</v>
      </c>
      <c r="B24" s="118">
        <f t="shared" si="5"/>
        <v>-1.8459999999999999</v>
      </c>
      <c r="C24" s="123">
        <f t="shared" si="0"/>
        <v>1.4956585949337891E-5</v>
      </c>
      <c r="D24" s="117">
        <f t="shared" si="6"/>
        <v>2E-3</v>
      </c>
      <c r="E24" s="124">
        <f t="shared" si="1"/>
        <v>0.99998504341405048</v>
      </c>
      <c r="F24" s="49">
        <f t="shared" si="7"/>
        <v>2.0000000000000018E-3</v>
      </c>
      <c r="K24" s="1">
        <v>19</v>
      </c>
      <c r="L24" s="1">
        <f t="shared" si="2"/>
        <v>-0.86561182002111825</v>
      </c>
      <c r="M24" s="122">
        <f t="shared" si="4"/>
        <v>-2.2624999999999966</v>
      </c>
      <c r="N24" s="1">
        <f t="shared" si="3"/>
        <v>0.1343881799788815</v>
      </c>
    </row>
    <row r="25" spans="1:14" x14ac:dyDescent="0.2">
      <c r="A25" s="123">
        <v>20</v>
      </c>
      <c r="B25" s="118">
        <f t="shared" si="5"/>
        <v>-1.8439999999999999</v>
      </c>
      <c r="C25" s="123">
        <f t="shared" si="0"/>
        <v>4.7673458203368826E-6</v>
      </c>
      <c r="D25" s="117">
        <f t="shared" si="6"/>
        <v>2E-3</v>
      </c>
      <c r="E25" s="124">
        <f t="shared" si="1"/>
        <v>0.99999523265417944</v>
      </c>
      <c r="F25" s="49">
        <f t="shared" si="7"/>
        <v>2.0000000000000018E-3</v>
      </c>
      <c r="K25" s="1">
        <v>20</v>
      </c>
      <c r="L25" s="1">
        <f t="shared" si="2"/>
        <v>-0.87369139118082761</v>
      </c>
      <c r="M25" s="122">
        <f t="shared" si="4"/>
        <v>-2.2499999999999964</v>
      </c>
      <c r="N25" s="1">
        <f t="shared" si="3"/>
        <v>0.12630860881917219</v>
      </c>
    </row>
    <row r="26" spans="1:14" x14ac:dyDescent="0.2">
      <c r="A26" s="123">
        <v>21</v>
      </c>
      <c r="B26" s="118">
        <f t="shared" si="5"/>
        <v>-1.8419999999999999</v>
      </c>
      <c r="C26" s="123">
        <f t="shared" si="0"/>
        <v>2.501086897190609E-7</v>
      </c>
      <c r="D26" s="117">
        <f t="shared" si="6"/>
        <v>2E-3</v>
      </c>
      <c r="E26" s="124">
        <f t="shared" si="1"/>
        <v>0.99999974989131002</v>
      </c>
      <c r="F26" s="49">
        <f t="shared" si="7"/>
        <v>2.0000000000000018E-3</v>
      </c>
      <c r="K26" s="1">
        <v>21</v>
      </c>
      <c r="L26" s="1">
        <f t="shared" si="2"/>
        <v>-0.88150916066528162</v>
      </c>
      <c r="M26" s="122">
        <f t="shared" si="4"/>
        <v>-2.2374999999999963</v>
      </c>
      <c r="N26" s="1">
        <f t="shared" si="3"/>
        <v>0.11849083933471818</v>
      </c>
    </row>
    <row r="27" spans="1:14" x14ac:dyDescent="0.2">
      <c r="A27" s="123">
        <v>22</v>
      </c>
      <c r="B27" s="118">
        <f t="shared" si="5"/>
        <v>-1.8399999999999999</v>
      </c>
      <c r="C27" s="123">
        <f t="shared" si="0"/>
        <v>1.3984810125932504E-6</v>
      </c>
      <c r="D27" s="117">
        <f t="shared" si="6"/>
        <v>2E-3</v>
      </c>
      <c r="E27" s="124">
        <f t="shared" si="1"/>
        <v>0.99999860151898723</v>
      </c>
      <c r="F27" s="49">
        <f t="shared" si="7"/>
        <v>2.0000000000000018E-3</v>
      </c>
      <c r="K27" s="1">
        <v>22</v>
      </c>
      <c r="L27" s="1">
        <f t="shared" si="2"/>
        <v>-0.88906609464393349</v>
      </c>
      <c r="M27" s="122">
        <f t="shared" si="4"/>
        <v>-2.2249999999999961</v>
      </c>
      <c r="N27" s="1">
        <f t="shared" si="3"/>
        <v>0.11093390535606623</v>
      </c>
    </row>
    <row r="28" spans="1:14" x14ac:dyDescent="0.2">
      <c r="A28" s="123">
        <v>23</v>
      </c>
      <c r="B28" s="118">
        <f t="shared" si="5"/>
        <v>-1.8401999999999998</v>
      </c>
      <c r="C28" s="123">
        <f t="shared" si="0"/>
        <v>1.0288738736797056E-6</v>
      </c>
      <c r="D28" s="117">
        <f t="shared" si="6"/>
        <v>-2.0000000000000001E-4</v>
      </c>
      <c r="E28" s="124">
        <f t="shared" si="1"/>
        <v>0.99999897112612612</v>
      </c>
      <c r="F28" s="49">
        <f t="shared" si="7"/>
        <v>1.9999999999997797E-4</v>
      </c>
      <c r="K28" s="1">
        <v>23</v>
      </c>
      <c r="L28" s="1">
        <f t="shared" si="2"/>
        <v>-0.89636317444431768</v>
      </c>
      <c r="M28" s="122">
        <f t="shared" si="4"/>
        <v>-2.2124999999999959</v>
      </c>
      <c r="N28" s="1">
        <f t="shared" si="3"/>
        <v>0.10363682555568204</v>
      </c>
    </row>
    <row r="29" spans="1:14" x14ac:dyDescent="0.2">
      <c r="A29" s="123">
        <v>24</v>
      </c>
      <c r="B29" s="118">
        <f t="shared" si="5"/>
        <v>-1.8403999999999998</v>
      </c>
      <c r="C29" s="123">
        <f t="shared" si="0"/>
        <v>7.1586517419099776E-7</v>
      </c>
      <c r="D29" s="117">
        <f t="shared" si="6"/>
        <v>-2.0000000000000001E-4</v>
      </c>
      <c r="E29" s="124">
        <f t="shared" si="1"/>
        <v>0.99999928413482564</v>
      </c>
      <c r="F29" s="49">
        <f t="shared" si="7"/>
        <v>1.9999999999997797E-4</v>
      </c>
      <c r="K29" s="1">
        <v>24</v>
      </c>
      <c r="L29" s="1">
        <f t="shared" si="2"/>
        <v>-0.90340139675200015</v>
      </c>
      <c r="M29" s="122">
        <f t="shared" si="4"/>
        <v>-2.1999999999999957</v>
      </c>
      <c r="N29" s="1">
        <f t="shared" si="3"/>
        <v>9.6598603247999626E-2</v>
      </c>
    </row>
    <row r="30" spans="1:14" x14ac:dyDescent="0.2">
      <c r="A30" s="123">
        <v>25</v>
      </c>
      <c r="B30" s="118">
        <f t="shared" si="5"/>
        <v>-1.8405999999999998</v>
      </c>
      <c r="C30" s="123">
        <f t="shared" si="0"/>
        <v>4.5946132746288488E-7</v>
      </c>
      <c r="D30" s="117">
        <f t="shared" si="6"/>
        <v>-2.0000000000000001E-4</v>
      </c>
      <c r="E30" s="124">
        <f t="shared" si="1"/>
        <v>0.99999954053867235</v>
      </c>
      <c r="F30" s="49">
        <f t="shared" si="7"/>
        <v>1.9999999999997797E-4</v>
      </c>
      <c r="K30" s="1">
        <v>25</v>
      </c>
      <c r="L30" s="1">
        <f t="shared" si="2"/>
        <v>-0.91018177381243914</v>
      </c>
      <c r="M30" s="122">
        <f t="shared" si="4"/>
        <v>-2.1874999999999956</v>
      </c>
      <c r="N30" s="1">
        <f t="shared" si="3"/>
        <v>8.9818226187560579E-2</v>
      </c>
    </row>
    <row r="31" spans="1:14" x14ac:dyDescent="0.2">
      <c r="A31" s="123">
        <v>26</v>
      </c>
      <c r="B31" s="118">
        <f t="shared" si="5"/>
        <v>-1.8407999999999998</v>
      </c>
      <c r="C31" s="123">
        <f t="shared" si="0"/>
        <v>2.5966874536428277E-7</v>
      </c>
      <c r="D31" s="117">
        <f t="shared" si="6"/>
        <v>-2.0000000000000001E-4</v>
      </c>
      <c r="E31" s="124">
        <f t="shared" si="1"/>
        <v>0.99999974033125438</v>
      </c>
      <c r="F31" s="49">
        <f t="shared" si="7"/>
        <v>1.9999999999997797E-4</v>
      </c>
      <c r="K31" s="1">
        <v>26</v>
      </c>
      <c r="L31" s="1">
        <f t="shared" si="2"/>
        <v>-0.91670533363475493</v>
      </c>
      <c r="M31" s="122">
        <f t="shared" si="4"/>
        <v>-2.1749999999999954</v>
      </c>
      <c r="N31" s="1">
        <f t="shared" si="3"/>
        <v>8.329466636524481E-2</v>
      </c>
    </row>
    <row r="32" spans="1:14" x14ac:dyDescent="0.2">
      <c r="A32" s="123">
        <v>27</v>
      </c>
      <c r="B32" s="118">
        <f t="shared" si="5"/>
        <v>-1.8409999999999997</v>
      </c>
      <c r="C32" s="123">
        <f t="shared" si="0"/>
        <v>1.164938382952963E-7</v>
      </c>
      <c r="D32" s="117">
        <f t="shared" si="6"/>
        <v>-2.0000000000000001E-4</v>
      </c>
      <c r="E32" s="124">
        <f t="shared" si="1"/>
        <v>0.99999988350616154</v>
      </c>
      <c r="F32" s="49">
        <f t="shared" si="7"/>
        <v>1.9999999999997797E-4</v>
      </c>
      <c r="K32" s="1">
        <v>27</v>
      </c>
      <c r="L32" s="1">
        <f t="shared" si="2"/>
        <v>-0.92297312019740319</v>
      </c>
      <c r="M32" s="122">
        <f t="shared" si="4"/>
        <v>-2.1624999999999952</v>
      </c>
      <c r="N32" s="1">
        <f t="shared" si="3"/>
        <v>7.7026879802596593E-2</v>
      </c>
    </row>
    <row r="33" spans="1:14" x14ac:dyDescent="0.2">
      <c r="A33" s="123">
        <v>28</v>
      </c>
      <c r="B33" s="118">
        <f t="shared" si="5"/>
        <v>-1.8411999999999997</v>
      </c>
      <c r="C33" s="123">
        <f t="shared" si="0"/>
        <v>2.9943015189387032E-8</v>
      </c>
      <c r="D33" s="117">
        <f t="shared" si="6"/>
        <v>-2.0000000000000001E-4</v>
      </c>
      <c r="E33" s="124">
        <f t="shared" si="1"/>
        <v>0.9999999700569846</v>
      </c>
      <c r="F33" s="49">
        <f t="shared" si="7"/>
        <v>1.9999999999997797E-4</v>
      </c>
      <c r="K33" s="1">
        <v>28</v>
      </c>
      <c r="L33" s="1">
        <f t="shared" si="2"/>
        <v>-0.92898619365575208</v>
      </c>
      <c r="M33" s="122">
        <f t="shared" si="4"/>
        <v>-2.149999999999995</v>
      </c>
      <c r="N33" s="1">
        <f t="shared" si="3"/>
        <v>7.1013806344247726E-2</v>
      </c>
    </row>
    <row r="34" spans="1:14" x14ac:dyDescent="0.2">
      <c r="A34" s="123">
        <v>29</v>
      </c>
      <c r="B34" s="118">
        <f t="shared" si="5"/>
        <v>-1.8413999999999997</v>
      </c>
      <c r="C34" s="123">
        <f t="shared" si="0"/>
        <v>2.2683512836393955E-11</v>
      </c>
      <c r="D34" s="117">
        <f t="shared" si="6"/>
        <v>-2.0000000000000001E-4</v>
      </c>
      <c r="E34" s="124">
        <f t="shared" si="1"/>
        <v>0.99999999997731626</v>
      </c>
      <c r="F34" s="49">
        <f t="shared" si="7"/>
        <v>1.9999999999997797E-4</v>
      </c>
      <c r="K34" s="1">
        <v>29</v>
      </c>
      <c r="L34" s="1">
        <f t="shared" si="2"/>
        <v>-0.93474563055155635</v>
      </c>
      <c r="M34" s="122">
        <f t="shared" si="4"/>
        <v>-2.1374999999999948</v>
      </c>
      <c r="N34" s="1">
        <f t="shared" si="3"/>
        <v>6.5254369448443469E-2</v>
      </c>
    </row>
    <row r="35" spans="1:14" x14ac:dyDescent="0.2">
      <c r="A35" s="123">
        <v>30</v>
      </c>
      <c r="B35" s="118">
        <f t="shared" si="5"/>
        <v>-1.8415999999999997</v>
      </c>
      <c r="C35" s="123">
        <f t="shared" si="0"/>
        <v>2.6739249264875043E-8</v>
      </c>
      <c r="D35" s="117">
        <f t="shared" si="6"/>
        <v>-2.0000000000000001E-4</v>
      </c>
      <c r="E35" s="124">
        <f t="shared" si="1"/>
        <v>0.99999997326075052</v>
      </c>
      <c r="F35" s="49">
        <f t="shared" si="7"/>
        <v>1.9999999999997797E-4</v>
      </c>
      <c r="K35" s="1">
        <v>30</v>
      </c>
      <c r="L35" s="1">
        <f t="shared" si="2"/>
        <v>-0.94025252402432291</v>
      </c>
      <c r="M35" s="122">
        <f t="shared" si="4"/>
        <v>-2.1249999999999947</v>
      </c>
      <c r="N35" s="1">
        <f t="shared" si="3"/>
        <v>5.9747475975676909E-2</v>
      </c>
    </row>
    <row r="36" spans="1:14" x14ac:dyDescent="0.2">
      <c r="A36" s="123">
        <v>31</v>
      </c>
      <c r="B36" s="118">
        <f t="shared" si="5"/>
        <v>-1.8415999999999997</v>
      </c>
      <c r="C36" s="123">
        <f t="shared" si="0"/>
        <v>2.6739249264875043E-8</v>
      </c>
      <c r="D36" s="117">
        <f t="shared" si="6"/>
        <v>-2.0000000000000001E-4</v>
      </c>
      <c r="E36" s="124">
        <f t="shared" si="1"/>
        <v>0.99999997326075052</v>
      </c>
      <c r="F36" s="49">
        <f t="shared" si="7"/>
        <v>0</v>
      </c>
      <c r="K36" s="1">
        <v>31</v>
      </c>
      <c r="L36" s="1">
        <f t="shared" si="2"/>
        <v>-0.94550798402456415</v>
      </c>
      <c r="M36" s="122">
        <f t="shared" si="4"/>
        <v>-2.1124999999999945</v>
      </c>
      <c r="N36" s="1">
        <f t="shared" si="3"/>
        <v>5.4492015975435681E-2</v>
      </c>
    </row>
    <row r="37" spans="1:14" x14ac:dyDescent="0.2">
      <c r="A37" s="123">
        <v>32</v>
      </c>
      <c r="B37" s="118">
        <f t="shared" si="5"/>
        <v>-1.8415999999999997</v>
      </c>
      <c r="C37" s="123">
        <f t="shared" si="0"/>
        <v>2.6739249264875043E-8</v>
      </c>
      <c r="D37" s="117">
        <f t="shared" si="6"/>
        <v>-2.0000000000000001E-4</v>
      </c>
      <c r="E37" s="124">
        <f t="shared" si="1"/>
        <v>0.99999997326075052</v>
      </c>
      <c r="F37" s="49">
        <f t="shared" si="7"/>
        <v>0</v>
      </c>
      <c r="K37" s="1">
        <v>32</v>
      </c>
      <c r="L37" s="1">
        <f t="shared" si="2"/>
        <v>-0.95051313752892796</v>
      </c>
      <c r="M37" s="122">
        <f t="shared" si="4"/>
        <v>-2.0999999999999943</v>
      </c>
      <c r="N37" s="1">
        <f t="shared" si="3"/>
        <v>4.9486862471071834E-2</v>
      </c>
    </row>
    <row r="38" spans="1:14" x14ac:dyDescent="0.2">
      <c r="A38" s="123">
        <v>33</v>
      </c>
      <c r="B38" s="118">
        <f t="shared" si="5"/>
        <v>-1.8415999999999997</v>
      </c>
      <c r="C38" s="123">
        <f t="shared" si="0"/>
        <v>2.6739249264875043E-8</v>
      </c>
      <c r="D38" s="117">
        <f t="shared" si="6"/>
        <v>-2.0000000000000001E-4</v>
      </c>
      <c r="E38" s="124">
        <f t="shared" si="1"/>
        <v>0.99999997326075052</v>
      </c>
      <c r="F38" s="49">
        <f t="shared" si="7"/>
        <v>0</v>
      </c>
      <c r="K38" s="1">
        <v>33</v>
      </c>
      <c r="L38" s="1">
        <f t="shared" si="2"/>
        <v>-0.95526912875720027</v>
      </c>
      <c r="M38" s="122">
        <f t="shared" si="4"/>
        <v>-2.0874999999999941</v>
      </c>
      <c r="N38" s="1">
        <f t="shared" si="3"/>
        <v>4.4730871242799508E-2</v>
      </c>
    </row>
    <row r="39" spans="1:14" x14ac:dyDescent="0.2">
      <c r="A39" s="123">
        <v>34</v>
      </c>
      <c r="B39" s="118">
        <f t="shared" si="5"/>
        <v>-1.8415999999999997</v>
      </c>
      <c r="C39" s="123">
        <f t="shared" si="0"/>
        <v>2.6739249264875043E-8</v>
      </c>
      <c r="D39" s="117">
        <f t="shared" si="6"/>
        <v>-2.0000000000000001E-4</v>
      </c>
      <c r="E39" s="124">
        <f t="shared" si="1"/>
        <v>0.99999997326075052</v>
      </c>
      <c r="F39" s="49">
        <f t="shared" si="7"/>
        <v>0</v>
      </c>
      <c r="K39" s="1">
        <v>34</v>
      </c>
      <c r="L39" s="1">
        <f t="shared" si="2"/>
        <v>-0.95977711939116783</v>
      </c>
      <c r="M39" s="122">
        <f t="shared" si="4"/>
        <v>-2.074999999999994</v>
      </c>
      <c r="N39" s="1">
        <f t="shared" si="3"/>
        <v>4.0222880608831946E-2</v>
      </c>
    </row>
    <row r="40" spans="1:14" x14ac:dyDescent="0.2">
      <c r="A40" s="123">
        <v>35</v>
      </c>
      <c r="B40" s="118">
        <f t="shared" si="5"/>
        <v>-1.8415999999999997</v>
      </c>
      <c r="C40" s="123">
        <f t="shared" si="0"/>
        <v>2.6739249264875043E-8</v>
      </c>
      <c r="D40" s="117">
        <f t="shared" si="6"/>
        <v>-2.0000000000000001E-4</v>
      </c>
      <c r="E40" s="124">
        <f t="shared" si="1"/>
        <v>0.99999997326075052</v>
      </c>
      <c r="F40" s="49">
        <f t="shared" si="7"/>
        <v>0</v>
      </c>
      <c r="K40" s="1">
        <v>35</v>
      </c>
      <c r="L40" s="1">
        <f t="shared" si="2"/>
        <v>-0.96403828879533149</v>
      </c>
      <c r="M40" s="122">
        <f t="shared" si="4"/>
        <v>-2.0624999999999938</v>
      </c>
      <c r="N40" s="1">
        <f t="shared" si="3"/>
        <v>3.5961711204668276E-2</v>
      </c>
    </row>
    <row r="41" spans="1:14" x14ac:dyDescent="0.2">
      <c r="A41" s="123">
        <v>36</v>
      </c>
      <c r="B41" s="118">
        <f t="shared" si="5"/>
        <v>-1.8415999999999997</v>
      </c>
      <c r="C41" s="123">
        <f t="shared" si="0"/>
        <v>2.6739249264875043E-8</v>
      </c>
      <c r="D41" s="117">
        <f t="shared" si="6"/>
        <v>-2.0000000000000001E-4</v>
      </c>
      <c r="E41" s="124">
        <f t="shared" si="1"/>
        <v>0.99999997326075052</v>
      </c>
      <c r="F41" s="49">
        <f t="shared" si="7"/>
        <v>0</v>
      </c>
      <c r="K41" s="1">
        <v>36</v>
      </c>
      <c r="L41" s="1">
        <f t="shared" si="2"/>
        <v>-0.96805383423946001</v>
      </c>
      <c r="M41" s="122">
        <f t="shared" si="4"/>
        <v>-2.0499999999999936</v>
      </c>
      <c r="N41" s="1">
        <f t="shared" si="3"/>
        <v>3.1946165760539713E-2</v>
      </c>
    </row>
    <row r="42" spans="1:14" x14ac:dyDescent="0.2">
      <c r="A42" s="123">
        <v>37</v>
      </c>
      <c r="B42" s="118">
        <f t="shared" si="5"/>
        <v>-1.8415999999999997</v>
      </c>
      <c r="C42" s="123">
        <f t="shared" si="0"/>
        <v>2.6739249264875043E-8</v>
      </c>
      <c r="D42" s="117">
        <f t="shared" si="6"/>
        <v>-2.0000000000000001E-4</v>
      </c>
      <c r="E42" s="124">
        <f t="shared" si="1"/>
        <v>0.99999997326075052</v>
      </c>
      <c r="F42" s="49">
        <f t="shared" si="7"/>
        <v>0</v>
      </c>
      <c r="K42" s="1">
        <v>37</v>
      </c>
      <c r="L42" s="1">
        <f t="shared" si="2"/>
        <v>-0.97182497112296984</v>
      </c>
      <c r="M42" s="122">
        <f t="shared" si="4"/>
        <v>-2.0374999999999934</v>
      </c>
      <c r="N42" s="1">
        <f t="shared" si="3"/>
        <v>2.8175028877029995E-2</v>
      </c>
    </row>
    <row r="43" spans="1:14" x14ac:dyDescent="0.2">
      <c r="A43" s="123">
        <v>38</v>
      </c>
      <c r="B43" s="118">
        <f t="shared" si="5"/>
        <v>-1.8415999999999997</v>
      </c>
      <c r="C43" s="123">
        <f t="shared" si="0"/>
        <v>2.6739249264875043E-8</v>
      </c>
      <c r="D43" s="117">
        <f t="shared" si="6"/>
        <v>-2.0000000000000001E-4</v>
      </c>
      <c r="E43" s="124">
        <f t="shared" si="1"/>
        <v>0.99999997326075052</v>
      </c>
      <c r="F43" s="49">
        <f t="shared" si="7"/>
        <v>0</v>
      </c>
      <c r="K43" s="1">
        <v>38</v>
      </c>
      <c r="L43" s="1">
        <f t="shared" si="2"/>
        <v>-0.9753529332011166</v>
      </c>
      <c r="M43" s="122">
        <f t="shared" si="4"/>
        <v>-2.0249999999999932</v>
      </c>
      <c r="N43" s="1">
        <f t="shared" si="3"/>
        <v>2.4647066798883194E-2</v>
      </c>
    </row>
    <row r="44" spans="1:14" x14ac:dyDescent="0.2">
      <c r="A44" s="123">
        <v>39</v>
      </c>
      <c r="B44" s="118">
        <f t="shared" si="5"/>
        <v>-1.8415999999999997</v>
      </c>
      <c r="C44" s="123">
        <f t="shared" si="0"/>
        <v>2.6739249264875043E-8</v>
      </c>
      <c r="D44" s="117">
        <f t="shared" si="6"/>
        <v>-2.0000000000000001E-4</v>
      </c>
      <c r="E44" s="124">
        <f t="shared" si="1"/>
        <v>0.99999997326075052</v>
      </c>
      <c r="F44" s="49">
        <f t="shared" si="7"/>
        <v>0</v>
      </c>
      <c r="K44" s="1">
        <v>39</v>
      </c>
      <c r="L44" s="1">
        <f t="shared" si="2"/>
        <v>-0.97863897281298673</v>
      </c>
      <c r="M44" s="122">
        <f t="shared" si="4"/>
        <v>-2.0124999999999931</v>
      </c>
      <c r="N44" s="1">
        <f t="shared" si="3"/>
        <v>2.1361027187013045E-2</v>
      </c>
    </row>
    <row r="45" spans="1:14" x14ac:dyDescent="0.2">
      <c r="A45" s="123">
        <v>40</v>
      </c>
      <c r="B45" s="118">
        <f t="shared" si="5"/>
        <v>-1.8415999999999997</v>
      </c>
      <c r="C45" s="123">
        <f t="shared" si="0"/>
        <v>2.6739249264875043E-8</v>
      </c>
      <c r="D45" s="117">
        <f t="shared" si="6"/>
        <v>-2.0000000000000001E-4</v>
      </c>
      <c r="E45" s="124">
        <f t="shared" si="1"/>
        <v>0.99999997326075052</v>
      </c>
      <c r="F45" s="49">
        <f t="shared" si="7"/>
        <v>0</v>
      </c>
      <c r="K45" s="1">
        <v>40</v>
      </c>
      <c r="L45" s="1">
        <f t="shared" si="2"/>
        <v>-0.98168436111126722</v>
      </c>
      <c r="M45" s="122">
        <f t="shared" si="4"/>
        <v>-1.9999999999999931</v>
      </c>
      <c r="N45" s="1">
        <f t="shared" si="3"/>
        <v>1.831563888873259E-2</v>
      </c>
    </row>
    <row r="46" spans="1:14" x14ac:dyDescent="0.2">
      <c r="A46" s="123">
        <v>41</v>
      </c>
      <c r="B46" s="118">
        <f t="shared" si="5"/>
        <v>-1.8415999999999997</v>
      </c>
      <c r="C46" s="123">
        <f t="shared" si="0"/>
        <v>2.6739249264875043E-8</v>
      </c>
      <c r="D46" s="117">
        <f t="shared" si="6"/>
        <v>-2.0000000000000001E-4</v>
      </c>
      <c r="E46" s="124">
        <f t="shared" si="1"/>
        <v>0.99999997326075052</v>
      </c>
      <c r="F46" s="49">
        <f t="shared" si="7"/>
        <v>0</v>
      </c>
      <c r="K46" s="1">
        <v>41</v>
      </c>
      <c r="L46" s="1">
        <f t="shared" si="2"/>
        <v>-0.98449038829378044</v>
      </c>
      <c r="M46" s="122">
        <f t="shared" si="4"/>
        <v>-1.9874999999999932</v>
      </c>
      <c r="N46" s="1">
        <f t="shared" si="3"/>
        <v>1.5509611706219357E-2</v>
      </c>
    </row>
    <row r="47" spans="1:14" x14ac:dyDescent="0.2">
      <c r="A47" s="123">
        <v>42</v>
      </c>
      <c r="B47" s="118">
        <f t="shared" si="5"/>
        <v>-1.8415999999999997</v>
      </c>
      <c r="C47" s="123">
        <f t="shared" si="0"/>
        <v>2.6739249264875043E-8</v>
      </c>
      <c r="D47" s="117">
        <f t="shared" si="6"/>
        <v>-2.0000000000000001E-4</v>
      </c>
      <c r="E47" s="124">
        <f t="shared" si="1"/>
        <v>0.99999997326075052</v>
      </c>
      <c r="F47" s="49">
        <f t="shared" si="7"/>
        <v>0</v>
      </c>
      <c r="K47" s="1">
        <v>42</v>
      </c>
      <c r="L47" s="1">
        <f t="shared" si="2"/>
        <v>-0.98705836383676193</v>
      </c>
      <c r="M47" s="122">
        <f t="shared" si="4"/>
        <v>-1.9749999999999932</v>
      </c>
      <c r="N47" s="1">
        <f t="shared" si="3"/>
        <v>1.2941636163237851E-2</v>
      </c>
    </row>
    <row r="48" spans="1:14" x14ac:dyDescent="0.2">
      <c r="A48" s="123">
        <v>43</v>
      </c>
      <c r="B48" s="118">
        <f t="shared" si="5"/>
        <v>-1.8415999999999997</v>
      </c>
      <c r="C48" s="123">
        <f t="shared" si="0"/>
        <v>2.6739249264875043E-8</v>
      </c>
      <c r="D48" s="117">
        <f t="shared" si="6"/>
        <v>-2.0000000000000001E-4</v>
      </c>
      <c r="E48" s="124">
        <f t="shared" si="1"/>
        <v>0.99999997326075052</v>
      </c>
      <c r="F48" s="49">
        <f t="shared" si="7"/>
        <v>0</v>
      </c>
      <c r="K48" s="1">
        <v>43</v>
      </c>
      <c r="L48" s="1">
        <f t="shared" si="2"/>
        <v>-0.98938961672986203</v>
      </c>
      <c r="M48" s="122">
        <f t="shared" si="4"/>
        <v>-1.9624999999999932</v>
      </c>
      <c r="N48" s="1">
        <f t="shared" si="3"/>
        <v>1.061038327013771E-2</v>
      </c>
    </row>
    <row r="49" spans="1:14" x14ac:dyDescent="0.2">
      <c r="A49" s="123">
        <v>44</v>
      </c>
      <c r="B49" s="118">
        <f t="shared" si="5"/>
        <v>-1.8415999999999997</v>
      </c>
      <c r="C49" s="123">
        <f t="shared" si="0"/>
        <v>2.6739249264875043E-8</v>
      </c>
      <c r="D49" s="117">
        <f t="shared" si="6"/>
        <v>-2.0000000000000001E-4</v>
      </c>
      <c r="E49" s="124">
        <f t="shared" si="1"/>
        <v>0.99999997326075052</v>
      </c>
      <c r="F49" s="49">
        <f t="shared" si="7"/>
        <v>0</v>
      </c>
      <c r="K49" s="1">
        <v>44</v>
      </c>
      <c r="L49" s="1">
        <f t="shared" si="2"/>
        <v>-0.99148549571284783</v>
      </c>
      <c r="M49" s="122">
        <f t="shared" si="4"/>
        <v>-1.9499999999999933</v>
      </c>
      <c r="N49" s="1">
        <f t="shared" si="3"/>
        <v>8.5145042871519663E-3</v>
      </c>
    </row>
    <row r="50" spans="1:14" x14ac:dyDescent="0.2">
      <c r="A50" s="123">
        <v>45</v>
      </c>
      <c r="B50" s="118">
        <f t="shared" si="5"/>
        <v>-1.8415999999999997</v>
      </c>
      <c r="C50" s="123">
        <f t="shared" si="0"/>
        <v>2.6739249264875043E-8</v>
      </c>
      <c r="D50" s="117">
        <f t="shared" si="6"/>
        <v>-2.0000000000000001E-4</v>
      </c>
      <c r="E50" s="124">
        <f t="shared" si="1"/>
        <v>0.99999997326075052</v>
      </c>
      <c r="F50" s="49">
        <f t="shared" si="7"/>
        <v>0</v>
      </c>
      <c r="K50" s="1">
        <v>45</v>
      </c>
      <c r="L50" s="1">
        <f t="shared" si="2"/>
        <v>-0.99334736951398261</v>
      </c>
      <c r="M50" s="122">
        <f t="shared" si="4"/>
        <v>-1.9374999999999933</v>
      </c>
      <c r="N50" s="1">
        <f t="shared" si="3"/>
        <v>6.6526304860171715E-3</v>
      </c>
    </row>
    <row r="51" spans="1:14" x14ac:dyDescent="0.2">
      <c r="A51" s="123">
        <v>46</v>
      </c>
      <c r="B51" s="118">
        <f t="shared" si="5"/>
        <v>-1.8415999999999997</v>
      </c>
      <c r="C51" s="123">
        <f t="shared" si="0"/>
        <v>2.6739249264875043E-8</v>
      </c>
      <c r="D51" s="117">
        <f t="shared" si="6"/>
        <v>-2.0000000000000001E-4</v>
      </c>
      <c r="E51" s="124">
        <f t="shared" si="1"/>
        <v>0.99999997326075052</v>
      </c>
      <c r="F51" s="49">
        <f t="shared" si="7"/>
        <v>0</v>
      </c>
      <c r="K51" s="1">
        <v>46</v>
      </c>
      <c r="L51" s="1">
        <f t="shared" si="2"/>
        <v>-0.99497662709005752</v>
      </c>
      <c r="M51" s="122">
        <f t="shared" si="4"/>
        <v>-1.9249999999999934</v>
      </c>
      <c r="N51" s="1">
        <f t="shared" si="3"/>
        <v>5.0233729099422595E-3</v>
      </c>
    </row>
    <row r="52" spans="1:14" x14ac:dyDescent="0.2">
      <c r="A52" s="123">
        <v>47</v>
      </c>
      <c r="B52" s="118">
        <f t="shared" si="5"/>
        <v>-1.8415999999999997</v>
      </c>
      <c r="C52" s="123">
        <f t="shared" si="0"/>
        <v>2.6739249264875043E-8</v>
      </c>
      <c r="D52" s="117">
        <f t="shared" si="6"/>
        <v>-2.0000000000000001E-4</v>
      </c>
      <c r="E52" s="124">
        <f t="shared" si="1"/>
        <v>0.99999997326075052</v>
      </c>
      <c r="F52" s="49">
        <f t="shared" si="7"/>
        <v>0</v>
      </c>
      <c r="K52" s="1">
        <v>47</v>
      </c>
      <c r="L52" s="1">
        <f t="shared" si="2"/>
        <v>-0.99637467786804712</v>
      </c>
      <c r="M52" s="122">
        <f t="shared" si="4"/>
        <v>-1.9124999999999934</v>
      </c>
      <c r="N52" s="1">
        <f t="shared" si="3"/>
        <v>3.6253221319526604E-3</v>
      </c>
    </row>
    <row r="53" spans="1:14" x14ac:dyDescent="0.2">
      <c r="A53" s="123">
        <v>48</v>
      </c>
      <c r="B53" s="118">
        <f t="shared" si="5"/>
        <v>-1.8415999999999997</v>
      </c>
      <c r="C53" s="123">
        <f t="shared" si="0"/>
        <v>2.6739249264875043E-8</v>
      </c>
      <c r="D53" s="117">
        <f t="shared" si="6"/>
        <v>-2.0000000000000001E-4</v>
      </c>
      <c r="E53" s="124">
        <f t="shared" si="1"/>
        <v>0.99999997326075052</v>
      </c>
      <c r="F53" s="49">
        <f t="shared" si="7"/>
        <v>0</v>
      </c>
      <c r="K53" s="1">
        <v>48</v>
      </c>
      <c r="L53" s="1">
        <f t="shared" si="2"/>
        <v>-0.99754295198836174</v>
      </c>
      <c r="M53" s="122">
        <f t="shared" si="4"/>
        <v>-1.8999999999999935</v>
      </c>
      <c r="N53" s="1">
        <f t="shared" si="3"/>
        <v>2.4570480116380298E-3</v>
      </c>
    </row>
    <row r="54" spans="1:14" x14ac:dyDescent="0.2">
      <c r="A54" s="123">
        <v>49</v>
      </c>
      <c r="B54" s="118">
        <f t="shared" si="5"/>
        <v>-1.8415999999999997</v>
      </c>
      <c r="C54" s="123">
        <f t="shared" si="0"/>
        <v>2.6739249264875043E-8</v>
      </c>
      <c r="D54" s="117">
        <f t="shared" si="6"/>
        <v>-2.0000000000000001E-4</v>
      </c>
      <c r="E54" s="124">
        <f t="shared" si="1"/>
        <v>0.99999997326075052</v>
      </c>
      <c r="F54" s="49">
        <f t="shared" si="7"/>
        <v>0</v>
      </c>
      <c r="K54" s="1">
        <v>49</v>
      </c>
      <c r="L54" s="1">
        <f t="shared" si="2"/>
        <v>-0.99848290054966471</v>
      </c>
      <c r="M54" s="122">
        <f t="shared" si="4"/>
        <v>-1.8874999999999935</v>
      </c>
      <c r="N54" s="1">
        <f t="shared" si="3"/>
        <v>1.5170994503350291E-3</v>
      </c>
    </row>
    <row r="55" spans="1:14" x14ac:dyDescent="0.2">
      <c r="A55" s="123">
        <v>50</v>
      </c>
      <c r="B55" s="118">
        <f t="shared" si="5"/>
        <v>-1.8415999999999997</v>
      </c>
      <c r="C55" s="123">
        <f t="shared" si="0"/>
        <v>2.6739249264875043E-8</v>
      </c>
      <c r="D55" s="117">
        <f t="shared" si="6"/>
        <v>-2.0000000000000001E-4</v>
      </c>
      <c r="E55" s="124">
        <f t="shared" si="1"/>
        <v>0.99999997326075052</v>
      </c>
      <c r="F55" s="49">
        <f t="shared" si="7"/>
        <v>0</v>
      </c>
      <c r="K55" s="1">
        <v>50</v>
      </c>
      <c r="L55" s="1">
        <f t="shared" si="2"/>
        <v>-0.99919599585522312</v>
      </c>
      <c r="M55" s="122">
        <f t="shared" si="4"/>
        <v>-1.8749999999999936</v>
      </c>
      <c r="N55" s="1">
        <f t="shared" si="3"/>
        <v>8.040041447766827E-4</v>
      </c>
    </row>
    <row r="56" spans="1:14" x14ac:dyDescent="0.2">
      <c r="A56" s="123">
        <v>51</v>
      </c>
      <c r="B56" s="118">
        <f t="shared" si="5"/>
        <v>-1.8415999999999997</v>
      </c>
      <c r="C56" s="123">
        <f t="shared" si="0"/>
        <v>2.6739249264875043E-8</v>
      </c>
      <c r="D56" s="117">
        <f t="shared" si="6"/>
        <v>-2.0000000000000001E-4</v>
      </c>
      <c r="E56" s="124">
        <f t="shared" si="1"/>
        <v>0.99999997326075052</v>
      </c>
      <c r="F56" s="49">
        <f t="shared" si="7"/>
        <v>0</v>
      </c>
      <c r="K56" s="1">
        <v>51</v>
      </c>
      <c r="L56" s="1">
        <f t="shared" si="2"/>
        <v>-0.99968373166075641</v>
      </c>
      <c r="M56" s="122">
        <f t="shared" si="4"/>
        <v>-1.8624999999999936</v>
      </c>
      <c r="N56" s="1">
        <f t="shared" si="3"/>
        <v>3.1626833924334937E-4</v>
      </c>
    </row>
    <row r="57" spans="1:14" x14ac:dyDescent="0.2">
      <c r="A57" s="123">
        <v>52</v>
      </c>
      <c r="B57" s="118">
        <f t="shared" si="5"/>
        <v>-1.8415999999999997</v>
      </c>
      <c r="C57" s="123">
        <f t="shared" si="0"/>
        <v>2.6739249264875043E-8</v>
      </c>
      <c r="D57" s="117">
        <f t="shared" si="6"/>
        <v>-2.0000000000000001E-4</v>
      </c>
      <c r="E57" s="124">
        <f t="shared" si="1"/>
        <v>0.99999997326075052</v>
      </c>
      <c r="F57" s="49">
        <f t="shared" si="7"/>
        <v>0</v>
      </c>
      <c r="K57" s="1">
        <v>52</v>
      </c>
      <c r="L57" s="1">
        <f t="shared" si="2"/>
        <v>-0.99994762342374877</v>
      </c>
      <c r="M57" s="122">
        <f t="shared" si="4"/>
        <v>-1.8499999999999936</v>
      </c>
      <c r="N57" s="1">
        <f t="shared" si="3"/>
        <v>5.2376576251027155E-5</v>
      </c>
    </row>
    <row r="58" spans="1:14" x14ac:dyDescent="0.2">
      <c r="A58" s="123">
        <v>53</v>
      </c>
      <c r="B58" s="118">
        <f t="shared" si="5"/>
        <v>-1.8415999999999997</v>
      </c>
      <c r="C58" s="123">
        <f t="shared" si="0"/>
        <v>2.6739249264875043E-8</v>
      </c>
      <c r="D58" s="117">
        <f t="shared" si="6"/>
        <v>-2.0000000000000001E-4</v>
      </c>
      <c r="E58" s="124">
        <f t="shared" si="1"/>
        <v>0.99999997326075052</v>
      </c>
      <c r="F58" s="49">
        <f t="shared" si="7"/>
        <v>0</v>
      </c>
      <c r="K58" s="1">
        <v>53</v>
      </c>
      <c r="L58" s="1">
        <f t="shared" si="2"/>
        <v>-0.99998920855418416</v>
      </c>
      <c r="M58" s="122">
        <f t="shared" si="4"/>
        <v>-1.8374999999999937</v>
      </c>
      <c r="N58" s="1">
        <f t="shared" si="3"/>
        <v>1.0791445815644157E-5</v>
      </c>
    </row>
    <row r="59" spans="1:14" x14ac:dyDescent="0.2">
      <c r="A59" s="123">
        <v>54</v>
      </c>
      <c r="B59" s="118">
        <f t="shared" si="5"/>
        <v>-1.8415999999999997</v>
      </c>
      <c r="C59" s="123">
        <f t="shared" si="0"/>
        <v>2.6739249264875043E-8</v>
      </c>
      <c r="D59" s="117">
        <f t="shared" si="6"/>
        <v>-2.0000000000000001E-4</v>
      </c>
      <c r="E59" s="124">
        <f t="shared" si="1"/>
        <v>0.99999997326075052</v>
      </c>
      <c r="F59" s="49">
        <f t="shared" si="7"/>
        <v>0</v>
      </c>
      <c r="K59" s="1">
        <v>54</v>
      </c>
      <c r="L59" s="1">
        <f t="shared" si="2"/>
        <v>-0.99981004666666617</v>
      </c>
      <c r="M59" s="122">
        <f t="shared" si="4"/>
        <v>-1.8249999999999937</v>
      </c>
      <c r="N59" s="1">
        <f t="shared" si="3"/>
        <v>1.8995333333362419E-4</v>
      </c>
    </row>
    <row r="60" spans="1:14" x14ac:dyDescent="0.2">
      <c r="A60" s="123">
        <v>55</v>
      </c>
      <c r="B60" s="118">
        <f t="shared" si="5"/>
        <v>-1.8415999999999997</v>
      </c>
      <c r="C60" s="123">
        <f t="shared" si="0"/>
        <v>2.6739249264875043E-8</v>
      </c>
      <c r="D60" s="117">
        <f t="shared" si="6"/>
        <v>-2.0000000000000001E-4</v>
      </c>
      <c r="E60" s="124">
        <f t="shared" si="1"/>
        <v>0.99999997326075052</v>
      </c>
      <c r="F60" s="49">
        <f t="shared" si="7"/>
        <v>0</v>
      </c>
      <c r="K60" s="1">
        <v>55</v>
      </c>
      <c r="L60" s="1">
        <f t="shared" si="2"/>
        <v>-0.99941171983387844</v>
      </c>
      <c r="M60" s="122">
        <f t="shared" si="4"/>
        <v>-1.8124999999999938</v>
      </c>
      <c r="N60" s="1">
        <f t="shared" si="3"/>
        <v>5.8828016612134254E-4</v>
      </c>
    </row>
    <row r="61" spans="1:14" x14ac:dyDescent="0.2">
      <c r="A61" s="123">
        <v>56</v>
      </c>
      <c r="B61" s="118">
        <f t="shared" si="5"/>
        <v>-1.8415999999999997</v>
      </c>
      <c r="C61" s="123">
        <f t="shared" si="0"/>
        <v>2.6739249264875043E-8</v>
      </c>
      <c r="D61" s="117">
        <f t="shared" si="6"/>
        <v>-2.0000000000000001E-4</v>
      </c>
      <c r="E61" s="124">
        <f t="shared" si="1"/>
        <v>0.99999997326075052</v>
      </c>
      <c r="F61" s="49">
        <f t="shared" si="7"/>
        <v>0</v>
      </c>
      <c r="K61" s="1">
        <v>56</v>
      </c>
      <c r="L61" s="1">
        <f t="shared" si="2"/>
        <v>-0.99879583284134144</v>
      </c>
      <c r="M61" s="122">
        <f t="shared" si="4"/>
        <v>-1.7999999999999938</v>
      </c>
      <c r="N61" s="1">
        <f t="shared" si="3"/>
        <v>1.204167158658303E-3</v>
      </c>
    </row>
    <row r="62" spans="1:14" x14ac:dyDescent="0.2">
      <c r="A62" s="123">
        <v>57</v>
      </c>
      <c r="B62" s="118">
        <f t="shared" si="5"/>
        <v>-1.8415999999999997</v>
      </c>
      <c r="C62" s="123">
        <f t="shared" si="0"/>
        <v>2.6739249264875043E-8</v>
      </c>
      <c r="D62" s="117">
        <f t="shared" si="6"/>
        <v>-2.0000000000000001E-4</v>
      </c>
      <c r="E62" s="124">
        <f t="shared" si="1"/>
        <v>0.99999997326075052</v>
      </c>
      <c r="F62" s="49">
        <f t="shared" si="7"/>
        <v>0</v>
      </c>
      <c r="K62" s="1">
        <v>57</v>
      </c>
      <c r="L62" s="1">
        <f t="shared" si="2"/>
        <v>-0.99796401344341856</v>
      </c>
      <c r="M62" s="122">
        <f t="shared" si="4"/>
        <v>-1.7874999999999939</v>
      </c>
      <c r="N62" s="1">
        <f t="shared" si="3"/>
        <v>2.0359865565812078E-3</v>
      </c>
    </row>
    <row r="63" spans="1:14" x14ac:dyDescent="0.2">
      <c r="A63" s="123">
        <v>58</v>
      </c>
      <c r="B63" s="118">
        <f t="shared" si="5"/>
        <v>-1.8415999999999997</v>
      </c>
      <c r="C63" s="123">
        <f t="shared" si="0"/>
        <v>2.6739249264875043E-8</v>
      </c>
      <c r="D63" s="117">
        <f t="shared" si="6"/>
        <v>-2.0000000000000001E-4</v>
      </c>
      <c r="E63" s="124">
        <f t="shared" si="1"/>
        <v>0.99999997326075052</v>
      </c>
      <c r="F63" s="49">
        <f t="shared" si="7"/>
        <v>0</v>
      </c>
      <c r="K63" s="1">
        <v>58</v>
      </c>
      <c r="L63" s="1">
        <f t="shared" si="2"/>
        <v>-0.99691791262052132</v>
      </c>
      <c r="M63" s="122">
        <f t="shared" si="4"/>
        <v>-1.7749999999999939</v>
      </c>
      <c r="N63" s="1">
        <f t="shared" si="3"/>
        <v>3.0820873794784594E-3</v>
      </c>
    </row>
    <row r="64" spans="1:14" x14ac:dyDescent="0.2">
      <c r="A64" s="123">
        <v>59</v>
      </c>
      <c r="B64" s="118">
        <f t="shared" si="5"/>
        <v>-1.8415999999999997</v>
      </c>
      <c r="C64" s="123">
        <f t="shared" si="0"/>
        <v>2.6739249264875043E-8</v>
      </c>
      <c r="D64" s="117">
        <f t="shared" si="6"/>
        <v>-2.0000000000000001E-4</v>
      </c>
      <c r="E64" s="124">
        <f t="shared" si="1"/>
        <v>0.99999997326075052</v>
      </c>
      <c r="F64" s="49">
        <f t="shared" si="7"/>
        <v>0</v>
      </c>
      <c r="K64" s="1">
        <v>59</v>
      </c>
      <c r="L64" s="1">
        <f t="shared" si="2"/>
        <v>-0.99565920483746273</v>
      </c>
      <c r="M64" s="122">
        <f t="shared" si="4"/>
        <v>-1.762499999999994</v>
      </c>
      <c r="N64" s="1">
        <f t="shared" si="3"/>
        <v>4.3407951625370617E-3</v>
      </c>
    </row>
    <row r="65" spans="1:14" x14ac:dyDescent="0.2">
      <c r="A65" s="123">
        <v>60</v>
      </c>
      <c r="B65" s="118">
        <f t="shared" si="5"/>
        <v>-1.8415999999999997</v>
      </c>
      <c r="C65" s="123">
        <f t="shared" si="0"/>
        <v>2.6739249264875043E-8</v>
      </c>
      <c r="D65" s="117">
        <f t="shared" si="6"/>
        <v>-2.0000000000000001E-4</v>
      </c>
      <c r="E65" s="124">
        <f t="shared" si="1"/>
        <v>0.99999997326075052</v>
      </c>
      <c r="F65" s="49">
        <f t="shared" si="7"/>
        <v>0</v>
      </c>
      <c r="K65" s="1">
        <v>60</v>
      </c>
      <c r="L65" s="1">
        <f t="shared" si="2"/>
        <v>-0.99418958830290305</v>
      </c>
      <c r="M65" s="122">
        <f t="shared" si="4"/>
        <v>-1.749999999999994</v>
      </c>
      <c r="N65" s="1">
        <f t="shared" si="3"/>
        <v>5.8104116970966926E-3</v>
      </c>
    </row>
    <row r="66" spans="1:14" x14ac:dyDescent="0.2">
      <c r="A66" s="123">
        <v>61</v>
      </c>
      <c r="B66" s="118">
        <f t="shared" si="5"/>
        <v>-1.8415999999999997</v>
      </c>
      <c r="C66" s="123">
        <f t="shared" si="0"/>
        <v>2.6739249264875043E-8</v>
      </c>
      <c r="D66" s="117">
        <f t="shared" si="6"/>
        <v>-2.0000000000000001E-4</v>
      </c>
      <c r="E66" s="124">
        <f t="shared" si="1"/>
        <v>0.99999997326075052</v>
      </c>
      <c r="F66" s="49">
        <f t="shared" si="7"/>
        <v>0</v>
      </c>
      <c r="K66" s="1">
        <v>61</v>
      </c>
      <c r="L66" s="1">
        <f t="shared" si="2"/>
        <v>-0.99251078522983183</v>
      </c>
      <c r="M66" s="122">
        <f t="shared" si="4"/>
        <v>-1.737499999999994</v>
      </c>
      <c r="N66" s="1">
        <f t="shared" si="3"/>
        <v>7.4892147701679356E-3</v>
      </c>
    </row>
    <row r="67" spans="1:14" x14ac:dyDescent="0.2">
      <c r="A67" s="123">
        <v>62</v>
      </c>
      <c r="B67" s="118">
        <f t="shared" si="5"/>
        <v>-1.8415999999999997</v>
      </c>
      <c r="C67" s="123">
        <f t="shared" si="0"/>
        <v>2.6739249264875043E-8</v>
      </c>
      <c r="D67" s="117">
        <f t="shared" si="6"/>
        <v>-2.0000000000000001E-4</v>
      </c>
      <c r="E67" s="124">
        <f t="shared" si="1"/>
        <v>0.99999997326075052</v>
      </c>
      <c r="F67" s="49">
        <f t="shared" si="7"/>
        <v>0</v>
      </c>
      <c r="K67" s="1">
        <v>62</v>
      </c>
      <c r="L67" s="1">
        <f t="shared" si="2"/>
        <v>-0.990624542097025</v>
      </c>
      <c r="M67" s="122">
        <f t="shared" si="4"/>
        <v>-1.7249999999999941</v>
      </c>
      <c r="N67" s="1">
        <f t="shared" si="3"/>
        <v>9.375457902974756E-3</v>
      </c>
    </row>
    <row r="68" spans="1:14" x14ac:dyDescent="0.2">
      <c r="A68" s="123">
        <v>63</v>
      </c>
      <c r="B68" s="118">
        <f t="shared" si="5"/>
        <v>-1.8415999999999997</v>
      </c>
      <c r="C68" s="123">
        <f t="shared" si="0"/>
        <v>2.6739249264875043E-8</v>
      </c>
      <c r="D68" s="117">
        <f t="shared" si="6"/>
        <v>-2.0000000000000001E-4</v>
      </c>
      <c r="E68" s="124">
        <f t="shared" si="1"/>
        <v>0.99999997326075052</v>
      </c>
      <c r="F68" s="49">
        <f t="shared" si="7"/>
        <v>0</v>
      </c>
      <c r="K68" s="1">
        <v>63</v>
      </c>
      <c r="L68" s="1">
        <f t="shared" si="2"/>
        <v>-0.98853262991141599</v>
      </c>
      <c r="M68" s="122">
        <f t="shared" si="4"/>
        <v>-1.7124999999999941</v>
      </c>
      <c r="N68" s="1">
        <f t="shared" si="3"/>
        <v>1.1467370088583749E-2</v>
      </c>
    </row>
    <row r="69" spans="1:14" x14ac:dyDescent="0.2">
      <c r="A69" s="123">
        <v>64</v>
      </c>
      <c r="B69" s="118">
        <f t="shared" si="5"/>
        <v>-1.8415999999999997</v>
      </c>
      <c r="C69" s="123">
        <f t="shared" si="0"/>
        <v>2.6739249264875043E-8</v>
      </c>
      <c r="D69" s="117">
        <f t="shared" si="6"/>
        <v>-2.0000000000000001E-4</v>
      </c>
      <c r="E69" s="124">
        <f t="shared" si="1"/>
        <v>0.99999997326075052</v>
      </c>
      <c r="F69" s="49">
        <f t="shared" si="7"/>
        <v>0</v>
      </c>
      <c r="K69" s="1">
        <v>64</v>
      </c>
      <c r="L69" s="1">
        <f t="shared" si="2"/>
        <v>-0.98623684447131343</v>
      </c>
      <c r="M69" s="122">
        <f t="shared" si="4"/>
        <v>-1.6999999999999942</v>
      </c>
      <c r="N69" s="1">
        <f t="shared" si="3"/>
        <v>1.3763155528686384E-2</v>
      </c>
    </row>
    <row r="70" spans="1:14" x14ac:dyDescent="0.2">
      <c r="A70" s="123">
        <v>65</v>
      </c>
      <c r="B70" s="118">
        <f t="shared" si="5"/>
        <v>-1.8415999999999997</v>
      </c>
      <c r="C70" s="123">
        <f t="shared" ref="C70:C133" si="8">(EXP(B70)-2-B70)^2</f>
        <v>2.6739249264875043E-8</v>
      </c>
      <c r="D70" s="117">
        <f t="shared" si="6"/>
        <v>-2.0000000000000001E-4</v>
      </c>
      <c r="E70" s="124">
        <f t="shared" ref="E70:E133" si="9">$R$5-C70</f>
        <v>0.99999997326075052</v>
      </c>
      <c r="F70" s="49">
        <f t="shared" si="7"/>
        <v>0</v>
      </c>
      <c r="K70" s="1">
        <v>65</v>
      </c>
      <c r="L70" s="1">
        <f t="shared" ref="L70:L133" si="10">N70-$R$5</f>
        <v>-0.98373900663039771</v>
      </c>
      <c r="M70" s="122">
        <f t="shared" si="4"/>
        <v>-1.6874999999999942</v>
      </c>
      <c r="N70" s="1">
        <f t="shared" ref="N70:N133" si="11">(EXP(M70)-2-M70)^2</f>
        <v>1.6260993369602062E-2</v>
      </c>
    </row>
    <row r="71" spans="1:14" x14ac:dyDescent="0.2">
      <c r="A71" s="123">
        <v>66</v>
      </c>
      <c r="B71" s="118">
        <f t="shared" si="5"/>
        <v>-1.8415999999999997</v>
      </c>
      <c r="C71" s="123">
        <f t="shared" si="8"/>
        <v>2.6739249264875043E-8</v>
      </c>
      <c r="D71" s="117">
        <f t="shared" si="6"/>
        <v>-2.0000000000000001E-4</v>
      </c>
      <c r="E71" s="124">
        <f t="shared" si="9"/>
        <v>0.99999997326075052</v>
      </c>
      <c r="F71" s="49">
        <f t="shared" si="7"/>
        <v>0</v>
      </c>
      <c r="K71" s="1">
        <v>66</v>
      </c>
      <c r="L71" s="1">
        <f t="shared" si="10"/>
        <v>-0.98104096256242546</v>
      </c>
      <c r="M71" s="122">
        <f t="shared" ref="M71:M134" si="12">M70+$O$5</f>
        <v>-1.6749999999999943</v>
      </c>
      <c r="N71" s="1">
        <f t="shared" si="11"/>
        <v>1.895903743757427E-2</v>
      </c>
    </row>
    <row r="72" spans="1:14" x14ac:dyDescent="0.2">
      <c r="A72" s="123">
        <v>67</v>
      </c>
      <c r="B72" s="118">
        <f t="shared" ref="B72:B135" si="13">IF(C71&gt;=C70,
         IF(ABS(D71)&lt;=($G$5/$I$5),
                         B71,
                         B71+D72),
         B71+D72)</f>
        <v>-1.8415999999999997</v>
      </c>
      <c r="C72" s="123">
        <f t="shared" si="8"/>
        <v>2.6739249264875043E-8</v>
      </c>
      <c r="D72" s="117">
        <f t="shared" ref="D72:D135" si="14">IF(C71&gt;=C70,
         IF(ABS(D71)&lt;=($G$5/$I$5),
                         D71,
                         -D71/$I$5),
         D71)</f>
        <v>-2.0000000000000001E-4</v>
      </c>
      <c r="E72" s="124">
        <f t="shared" si="9"/>
        <v>0.99999997326075052</v>
      </c>
      <c r="F72" s="49">
        <f t="shared" si="7"/>
        <v>0</v>
      </c>
      <c r="K72" s="1">
        <v>67</v>
      </c>
      <c r="L72" s="1">
        <f t="shared" si="10"/>
        <v>-0.97814458402656512</v>
      </c>
      <c r="M72" s="122">
        <f t="shared" si="12"/>
        <v>-1.6624999999999943</v>
      </c>
      <c r="N72" s="1">
        <f t="shared" si="11"/>
        <v>2.185541597343469E-2</v>
      </c>
    </row>
    <row r="73" spans="1:14" x14ac:dyDescent="0.2">
      <c r="A73" s="123">
        <v>68</v>
      </c>
      <c r="B73" s="118">
        <f t="shared" si="13"/>
        <v>-1.8415999999999997</v>
      </c>
      <c r="C73" s="123">
        <f t="shared" si="8"/>
        <v>2.6739249264875043E-8</v>
      </c>
      <c r="D73" s="117">
        <f t="shared" si="14"/>
        <v>-2.0000000000000001E-4</v>
      </c>
      <c r="E73" s="124">
        <f t="shared" si="9"/>
        <v>0.99999997326075052</v>
      </c>
      <c r="F73" s="49">
        <f t="shared" ref="F73:F136" si="15">ABS(B73-B72)</f>
        <v>0</v>
      </c>
      <c r="K73" s="1">
        <v>68</v>
      </c>
      <c r="L73" s="1">
        <f t="shared" si="10"/>
        <v>-0.97505176863328624</v>
      </c>
      <c r="M73" s="122">
        <f t="shared" si="12"/>
        <v>-1.6499999999999944</v>
      </c>
      <c r="N73" s="1">
        <f t="shared" si="11"/>
        <v>2.494823136671356E-2</v>
      </c>
    </row>
    <row r="74" spans="1:14" x14ac:dyDescent="0.2">
      <c r="A74" s="123">
        <v>69</v>
      </c>
      <c r="B74" s="118">
        <f t="shared" si="13"/>
        <v>-1.8415999999999997</v>
      </c>
      <c r="C74" s="123">
        <f t="shared" si="8"/>
        <v>2.6739249264875043E-8</v>
      </c>
      <c r="D74" s="117">
        <f t="shared" si="14"/>
        <v>-2.0000000000000001E-4</v>
      </c>
      <c r="E74" s="124">
        <f t="shared" si="9"/>
        <v>0.99999997326075052</v>
      </c>
      <c r="F74" s="49">
        <f t="shared" si="15"/>
        <v>0</v>
      </c>
      <c r="K74" s="1">
        <v>69</v>
      </c>
      <c r="L74" s="1">
        <f t="shared" si="10"/>
        <v>-0.97176444011072272</v>
      </c>
      <c r="M74" s="122">
        <f t="shared" si="12"/>
        <v>-1.6374999999999944</v>
      </c>
      <c r="N74" s="1">
        <f t="shared" si="11"/>
        <v>2.8235559889277041E-2</v>
      </c>
    </row>
    <row r="75" spans="1:14" x14ac:dyDescent="0.2">
      <c r="A75" s="123">
        <v>70</v>
      </c>
      <c r="B75" s="118">
        <f t="shared" si="13"/>
        <v>-1.8415999999999997</v>
      </c>
      <c r="C75" s="123">
        <f t="shared" si="8"/>
        <v>2.6739249264875043E-8</v>
      </c>
      <c r="D75" s="117">
        <f t="shared" si="14"/>
        <v>-2.0000000000000001E-4</v>
      </c>
      <c r="E75" s="124">
        <f t="shared" si="9"/>
        <v>0.99999997326075052</v>
      </c>
      <c r="F75" s="49">
        <f t="shared" si="15"/>
        <v>0</v>
      </c>
      <c r="K75" s="1">
        <v>70</v>
      </c>
      <c r="L75" s="1">
        <f t="shared" si="10"/>
        <v>-0.96828454857142165</v>
      </c>
      <c r="M75" s="122">
        <f t="shared" si="12"/>
        <v>-1.6249999999999944</v>
      </c>
      <c r="N75" s="1">
        <f t="shared" si="11"/>
        <v>3.1715451428578088E-2</v>
      </c>
    </row>
    <row r="76" spans="1:14" x14ac:dyDescent="0.2">
      <c r="A76" s="123">
        <v>71</v>
      </c>
      <c r="B76" s="118">
        <f t="shared" si="13"/>
        <v>-1.8415999999999997</v>
      </c>
      <c r="C76" s="123">
        <f t="shared" si="8"/>
        <v>2.6739249264875043E-8</v>
      </c>
      <c r="D76" s="117">
        <f t="shared" si="14"/>
        <v>-2.0000000000000001E-4</v>
      </c>
      <c r="E76" s="124">
        <f t="shared" si="9"/>
        <v>0.99999997326075052</v>
      </c>
      <c r="F76" s="49">
        <f t="shared" si="15"/>
        <v>0</v>
      </c>
      <c r="K76" s="1">
        <v>71</v>
      </c>
      <c r="L76" s="1">
        <f t="shared" si="10"/>
        <v>-0.96461407077939154</v>
      </c>
      <c r="M76" s="122">
        <f t="shared" si="12"/>
        <v>-1.6124999999999945</v>
      </c>
      <c r="N76" s="1">
        <f t="shared" si="11"/>
        <v>3.5385929220608216E-2</v>
      </c>
    </row>
    <row r="77" spans="1:14" x14ac:dyDescent="0.2">
      <c r="A77" s="123">
        <v>72</v>
      </c>
      <c r="B77" s="118">
        <f t="shared" si="13"/>
        <v>-1.8415999999999997</v>
      </c>
      <c r="C77" s="123">
        <f t="shared" si="8"/>
        <v>2.6739249264875043E-8</v>
      </c>
      <c r="D77" s="117">
        <f t="shared" si="14"/>
        <v>-2.0000000000000001E-4</v>
      </c>
      <c r="E77" s="124">
        <f t="shared" si="9"/>
        <v>0.99999997326075052</v>
      </c>
      <c r="F77" s="49">
        <f t="shared" si="15"/>
        <v>0</v>
      </c>
      <c r="K77" s="1">
        <v>72</v>
      </c>
      <c r="L77" s="1">
        <f t="shared" si="10"/>
        <v>-0.96075501041735623</v>
      </c>
      <c r="M77" s="122">
        <f t="shared" si="12"/>
        <v>-1.5999999999999945</v>
      </c>
      <c r="N77" s="1">
        <f t="shared" si="11"/>
        <v>3.9244989582643587E-2</v>
      </c>
    </row>
    <row r="78" spans="1:14" x14ac:dyDescent="0.2">
      <c r="A78" s="123">
        <v>73</v>
      </c>
      <c r="B78" s="118">
        <f t="shared" si="13"/>
        <v>-1.8415999999999997</v>
      </c>
      <c r="C78" s="123">
        <f t="shared" si="8"/>
        <v>2.6739249264875043E-8</v>
      </c>
      <c r="D78" s="117">
        <f t="shared" si="14"/>
        <v>-2.0000000000000001E-4</v>
      </c>
      <c r="E78" s="124">
        <f t="shared" si="9"/>
        <v>0.99999997326075052</v>
      </c>
      <c r="F78" s="49">
        <f t="shared" si="15"/>
        <v>0</v>
      </c>
      <c r="K78" s="1">
        <v>73</v>
      </c>
      <c r="L78" s="1">
        <f t="shared" si="10"/>
        <v>-0.95670939835411917</v>
      </c>
      <c r="M78" s="122">
        <f t="shared" si="12"/>
        <v>-1.5874999999999946</v>
      </c>
      <c r="N78" s="1">
        <f t="shared" si="11"/>
        <v>4.3290601645880646E-2</v>
      </c>
    </row>
    <row r="79" spans="1:14" x14ac:dyDescent="0.2">
      <c r="A79" s="123">
        <v>74</v>
      </c>
      <c r="B79" s="118">
        <f t="shared" si="13"/>
        <v>-1.8415999999999997</v>
      </c>
      <c r="C79" s="123">
        <f t="shared" si="8"/>
        <v>2.6739249264875043E-8</v>
      </c>
      <c r="D79" s="117">
        <f t="shared" si="14"/>
        <v>-2.0000000000000001E-4</v>
      </c>
      <c r="E79" s="124">
        <f t="shared" si="9"/>
        <v>0.99999997326075052</v>
      </c>
      <c r="F79" s="49">
        <f t="shared" si="15"/>
        <v>0</v>
      </c>
      <c r="K79" s="1">
        <v>74</v>
      </c>
      <c r="L79" s="1">
        <f t="shared" si="10"/>
        <v>-0.95247929291193745</v>
      </c>
      <c r="M79" s="122">
        <f t="shared" si="12"/>
        <v>-1.5749999999999946</v>
      </c>
      <c r="N79" s="1">
        <f t="shared" si="11"/>
        <v>4.7520707088062338E-2</v>
      </c>
    </row>
    <row r="80" spans="1:14" x14ac:dyDescent="0.2">
      <c r="A80" s="123">
        <v>75</v>
      </c>
      <c r="B80" s="118">
        <f t="shared" si="13"/>
        <v>-1.8415999999999997</v>
      </c>
      <c r="C80" s="123">
        <f t="shared" si="8"/>
        <v>2.6739249264875043E-8</v>
      </c>
      <c r="D80" s="117">
        <f t="shared" si="14"/>
        <v>-2.0000000000000001E-4</v>
      </c>
      <c r="E80" s="124">
        <f t="shared" si="9"/>
        <v>0.99999997326075052</v>
      </c>
      <c r="F80" s="49">
        <f t="shared" si="15"/>
        <v>0</v>
      </c>
      <c r="K80" s="1">
        <v>75</v>
      </c>
      <c r="L80" s="1">
        <f t="shared" si="10"/>
        <v>-0.94806678013380108</v>
      </c>
      <c r="M80" s="122">
        <f t="shared" si="12"/>
        <v>-1.5624999999999947</v>
      </c>
      <c r="N80" s="1">
        <f t="shared" si="11"/>
        <v>5.193321986619874E-2</v>
      </c>
    </row>
    <row r="81" spans="1:14" x14ac:dyDescent="0.2">
      <c r="A81" s="123">
        <v>76</v>
      </c>
      <c r="B81" s="118">
        <f t="shared" si="13"/>
        <v>-1.8415999999999997</v>
      </c>
      <c r="C81" s="123">
        <f t="shared" si="8"/>
        <v>2.6739249264875043E-8</v>
      </c>
      <c r="D81" s="117">
        <f t="shared" si="14"/>
        <v>-2.0000000000000001E-4</v>
      </c>
      <c r="E81" s="124">
        <f t="shared" si="9"/>
        <v>0.99999997326075052</v>
      </c>
      <c r="F81" s="49">
        <f t="shared" si="15"/>
        <v>0</v>
      </c>
      <c r="K81" s="1">
        <v>76</v>
      </c>
      <c r="L81" s="1">
        <f t="shared" si="10"/>
        <v>-0.9434739740505087</v>
      </c>
      <c r="M81" s="122">
        <f t="shared" si="12"/>
        <v>-1.5499999999999947</v>
      </c>
      <c r="N81" s="1">
        <f t="shared" si="11"/>
        <v>5.6526025949491021E-2</v>
      </c>
    </row>
    <row r="82" spans="1:14" x14ac:dyDescent="0.2">
      <c r="A82" s="123">
        <v>77</v>
      </c>
      <c r="B82" s="118">
        <f t="shared" si="13"/>
        <v>-1.8415999999999997</v>
      </c>
      <c r="C82" s="123">
        <f t="shared" si="8"/>
        <v>2.6739249264875043E-8</v>
      </c>
      <c r="D82" s="117">
        <f t="shared" si="14"/>
        <v>-2.0000000000000001E-4</v>
      </c>
      <c r="E82" s="124">
        <f t="shared" si="9"/>
        <v>0.99999997326075052</v>
      </c>
      <c r="F82" s="49">
        <f t="shared" si="15"/>
        <v>0</v>
      </c>
      <c r="K82" s="1">
        <v>77</v>
      </c>
      <c r="L82" s="1">
        <f t="shared" si="10"/>
        <v>-0.93870301694742919</v>
      </c>
      <c r="M82" s="122">
        <f t="shared" si="12"/>
        <v>-1.5374999999999948</v>
      </c>
      <c r="N82" s="1">
        <f t="shared" si="11"/>
        <v>6.1296983052570607E-2</v>
      </c>
    </row>
    <row r="83" spans="1:14" x14ac:dyDescent="0.2">
      <c r="A83" s="123">
        <v>78</v>
      </c>
      <c r="B83" s="118">
        <f t="shared" si="13"/>
        <v>-1.8415999999999997</v>
      </c>
      <c r="C83" s="123">
        <f t="shared" si="8"/>
        <v>2.6739249264875043E-8</v>
      </c>
      <c r="D83" s="117">
        <f t="shared" si="14"/>
        <v>-2.0000000000000001E-4</v>
      </c>
      <c r="E83" s="124">
        <f t="shared" si="9"/>
        <v>0.99999997326075052</v>
      </c>
      <c r="F83" s="49">
        <f t="shared" si="15"/>
        <v>0</v>
      </c>
      <c r="K83" s="1">
        <v>78</v>
      </c>
      <c r="L83" s="1">
        <f t="shared" si="10"/>
        <v>-0.93375607963082796</v>
      </c>
      <c r="M83" s="122">
        <f t="shared" si="12"/>
        <v>-1.5249999999999948</v>
      </c>
      <c r="N83" s="1">
        <f t="shared" si="11"/>
        <v>6.624392036917183E-2</v>
      </c>
    </row>
    <row r="84" spans="1:14" x14ac:dyDescent="0.2">
      <c r="A84" s="123">
        <v>79</v>
      </c>
      <c r="B84" s="118">
        <f t="shared" si="13"/>
        <v>-1.8415999999999997</v>
      </c>
      <c r="C84" s="123">
        <f t="shared" si="8"/>
        <v>2.6739249264875043E-8</v>
      </c>
      <c r="D84" s="117">
        <f t="shared" si="14"/>
        <v>-2.0000000000000001E-4</v>
      </c>
      <c r="E84" s="124">
        <f t="shared" si="9"/>
        <v>0.99999997326075052</v>
      </c>
      <c r="F84" s="49">
        <f t="shared" si="15"/>
        <v>0</v>
      </c>
      <c r="K84" s="1">
        <v>79</v>
      </c>
      <c r="L84" s="1">
        <f t="shared" si="10"/>
        <v>-0.92863536169364058</v>
      </c>
      <c r="M84" s="122">
        <f t="shared" si="12"/>
        <v>-1.5124999999999948</v>
      </c>
      <c r="N84" s="1">
        <f t="shared" si="11"/>
        <v>7.1364638306359168E-2</v>
      </c>
    </row>
    <row r="85" spans="1:14" x14ac:dyDescent="0.2">
      <c r="A85" s="123">
        <v>80</v>
      </c>
      <c r="B85" s="118">
        <f t="shared" si="13"/>
        <v>-1.8415999999999997</v>
      </c>
      <c r="C85" s="123">
        <f t="shared" si="8"/>
        <v>2.6739249264875043E-8</v>
      </c>
      <c r="D85" s="117">
        <f t="shared" si="14"/>
        <v>-2.0000000000000001E-4</v>
      </c>
      <c r="E85" s="124">
        <f t="shared" si="9"/>
        <v>0.99999997326075052</v>
      </c>
      <c r="F85" s="49">
        <f t="shared" si="15"/>
        <v>0</v>
      </c>
      <c r="K85" s="1">
        <v>80</v>
      </c>
      <c r="L85" s="1">
        <f t="shared" si="10"/>
        <v>-0.92334309178056351</v>
      </c>
      <c r="M85" s="122">
        <f t="shared" si="12"/>
        <v>-1.4999999999999949</v>
      </c>
      <c r="N85" s="1">
        <f t="shared" si="11"/>
        <v>7.6656908219436284E-2</v>
      </c>
    </row>
    <row r="86" spans="1:14" x14ac:dyDescent="0.2">
      <c r="A86" s="123">
        <v>81</v>
      </c>
      <c r="B86" s="118">
        <f t="shared" si="13"/>
        <v>-1.8415999999999997</v>
      </c>
      <c r="C86" s="123">
        <f t="shared" si="8"/>
        <v>2.6739249264875043E-8</v>
      </c>
      <c r="D86" s="117">
        <f t="shared" si="14"/>
        <v>-2.0000000000000001E-4</v>
      </c>
      <c r="E86" s="124">
        <f t="shared" si="9"/>
        <v>0.99999997326075052</v>
      </c>
      <c r="F86" s="49">
        <f t="shared" si="15"/>
        <v>0</v>
      </c>
      <c r="K86" s="1">
        <v>81</v>
      </c>
      <c r="L86" s="1">
        <f t="shared" si="10"/>
        <v>-0.91788152785233179</v>
      </c>
      <c r="M86" s="122">
        <f t="shared" si="12"/>
        <v>-1.4874999999999949</v>
      </c>
      <c r="N86" s="1">
        <f t="shared" si="11"/>
        <v>8.2118472147667973E-2</v>
      </c>
    </row>
    <row r="87" spans="1:14" x14ac:dyDescent="0.2">
      <c r="A87" s="123">
        <v>82</v>
      </c>
      <c r="B87" s="118">
        <f t="shared" si="13"/>
        <v>-1.8415999999999997</v>
      </c>
      <c r="C87" s="123">
        <f t="shared" si="8"/>
        <v>2.6739249264875043E-8</v>
      </c>
      <c r="D87" s="117">
        <f t="shared" si="14"/>
        <v>-2.0000000000000001E-4</v>
      </c>
      <c r="E87" s="124">
        <f t="shared" si="9"/>
        <v>0.99999997326075052</v>
      </c>
      <c r="F87" s="49">
        <f t="shared" si="15"/>
        <v>0</v>
      </c>
      <c r="K87" s="1">
        <v>82</v>
      </c>
      <c r="L87" s="1">
        <f t="shared" si="10"/>
        <v>-0.91225295744904855</v>
      </c>
      <c r="M87" s="122">
        <f t="shared" si="12"/>
        <v>-1.474999999999995</v>
      </c>
      <c r="N87" s="1">
        <f t="shared" si="11"/>
        <v>8.7747042550951171E-2</v>
      </c>
    </row>
    <row r="88" spans="1:14" x14ac:dyDescent="0.2">
      <c r="A88" s="123">
        <v>83</v>
      </c>
      <c r="B88" s="118">
        <f t="shared" si="13"/>
        <v>-1.8415999999999997</v>
      </c>
      <c r="C88" s="123">
        <f t="shared" si="8"/>
        <v>2.6739249264875043E-8</v>
      </c>
      <c r="D88" s="117">
        <f t="shared" si="14"/>
        <v>-2.0000000000000001E-4</v>
      </c>
      <c r="E88" s="124">
        <f t="shared" si="9"/>
        <v>0.99999997326075052</v>
      </c>
      <c r="F88" s="49">
        <f t="shared" si="15"/>
        <v>0</v>
      </c>
      <c r="K88" s="1">
        <v>83</v>
      </c>
      <c r="L88" s="1">
        <f t="shared" si="10"/>
        <v>-0.90645969795242276</v>
      </c>
      <c r="M88" s="122">
        <f t="shared" si="12"/>
        <v>-1.462499999999995</v>
      </c>
      <c r="N88" s="1">
        <f t="shared" si="11"/>
        <v>9.3540302047576976E-2</v>
      </c>
    </row>
    <row r="89" spans="1:14" x14ac:dyDescent="0.2">
      <c r="A89" s="123">
        <v>84</v>
      </c>
      <c r="B89" s="118">
        <f t="shared" si="13"/>
        <v>-1.8415999999999997</v>
      </c>
      <c r="C89" s="123">
        <f t="shared" si="8"/>
        <v>2.6739249264875043E-8</v>
      </c>
      <c r="D89" s="117">
        <f t="shared" si="14"/>
        <v>-2.0000000000000001E-4</v>
      </c>
      <c r="E89" s="124">
        <f t="shared" si="9"/>
        <v>0.99999997326075052</v>
      </c>
      <c r="F89" s="49">
        <f t="shared" si="15"/>
        <v>0</v>
      </c>
      <c r="K89" s="1">
        <v>84</v>
      </c>
      <c r="L89" s="1">
        <f t="shared" si="10"/>
        <v>-0.90050409684676758</v>
      </c>
      <c r="M89" s="122">
        <f t="shared" si="12"/>
        <v>-1.4499999999999951</v>
      </c>
      <c r="N89" s="1">
        <f t="shared" si="11"/>
        <v>9.9495903153232215E-2</v>
      </c>
    </row>
    <row r="90" spans="1:14" x14ac:dyDescent="0.2">
      <c r="A90" s="123">
        <v>85</v>
      </c>
      <c r="B90" s="118">
        <f t="shared" si="13"/>
        <v>-1.8415999999999997</v>
      </c>
      <c r="C90" s="123">
        <f t="shared" si="8"/>
        <v>2.6739249264875043E-8</v>
      </c>
      <c r="D90" s="117">
        <f t="shared" si="14"/>
        <v>-2.0000000000000001E-4</v>
      </c>
      <c r="E90" s="124">
        <f t="shared" si="9"/>
        <v>0.99999997326075052</v>
      </c>
      <c r="F90" s="49">
        <f t="shared" si="15"/>
        <v>0</v>
      </c>
      <c r="K90" s="1">
        <v>85</v>
      </c>
      <c r="L90" s="1">
        <f t="shared" si="10"/>
        <v>-0.89438853197861046</v>
      </c>
      <c r="M90" s="122">
        <f t="shared" si="12"/>
        <v>-1.4374999999999951</v>
      </c>
      <c r="N90" s="1">
        <f t="shared" si="11"/>
        <v>0.10561146802138929</v>
      </c>
    </row>
    <row r="91" spans="1:14" x14ac:dyDescent="0.2">
      <c r="A91" s="123">
        <v>86</v>
      </c>
      <c r="B91" s="118">
        <f t="shared" si="13"/>
        <v>-1.8415999999999997</v>
      </c>
      <c r="C91" s="123">
        <f t="shared" si="8"/>
        <v>2.6739249264875043E-8</v>
      </c>
      <c r="D91" s="117">
        <f t="shared" si="14"/>
        <v>-2.0000000000000001E-4</v>
      </c>
      <c r="E91" s="124">
        <f t="shared" si="9"/>
        <v>0.99999997326075052</v>
      </c>
      <c r="F91" s="49">
        <f t="shared" si="15"/>
        <v>0</v>
      </c>
      <c r="K91" s="1">
        <v>86</v>
      </c>
      <c r="L91" s="1">
        <f t="shared" si="10"/>
        <v>-0.8881154118147524</v>
      </c>
      <c r="M91" s="122">
        <f t="shared" si="12"/>
        <v>-1.4249999999999952</v>
      </c>
      <c r="N91" s="1">
        <f t="shared" si="11"/>
        <v>0.11188458818524739</v>
      </c>
    </row>
    <row r="92" spans="1:14" x14ac:dyDescent="0.2">
      <c r="A92" s="123">
        <v>87</v>
      </c>
      <c r="B92" s="118">
        <f t="shared" si="13"/>
        <v>-1.8415999999999997</v>
      </c>
      <c r="C92" s="123">
        <f t="shared" si="8"/>
        <v>2.6739249264875043E-8</v>
      </c>
      <c r="D92" s="117">
        <f t="shared" si="14"/>
        <v>-2.0000000000000001E-4</v>
      </c>
      <c r="E92" s="124">
        <f t="shared" si="9"/>
        <v>0.99999997326075052</v>
      </c>
      <c r="F92" s="49">
        <f t="shared" si="15"/>
        <v>0</v>
      </c>
      <c r="K92" s="1">
        <v>87</v>
      </c>
      <c r="L92" s="1">
        <f t="shared" si="10"/>
        <v>-0.88168717569861543</v>
      </c>
      <c r="M92" s="122">
        <f t="shared" si="12"/>
        <v>-1.4124999999999952</v>
      </c>
      <c r="N92" s="1">
        <f t="shared" si="11"/>
        <v>0.11831282430138437</v>
      </c>
    </row>
    <row r="93" spans="1:14" x14ac:dyDescent="0.2">
      <c r="A93" s="123">
        <v>88</v>
      </c>
      <c r="B93" s="118">
        <f t="shared" si="13"/>
        <v>-1.8415999999999997</v>
      </c>
      <c r="C93" s="123">
        <f t="shared" si="8"/>
        <v>2.6739249264875043E-8</v>
      </c>
      <c r="D93" s="117">
        <f t="shared" si="14"/>
        <v>-2.0000000000000001E-4</v>
      </c>
      <c r="E93" s="124">
        <f t="shared" si="9"/>
        <v>0.99999997326075052</v>
      </c>
      <c r="F93" s="49">
        <f t="shared" si="15"/>
        <v>0</v>
      </c>
      <c r="K93" s="1">
        <v>88</v>
      </c>
      <c r="L93" s="1">
        <f t="shared" si="10"/>
        <v>-0.87510629410470708</v>
      </c>
      <c r="M93" s="122">
        <f t="shared" si="12"/>
        <v>-1.3999999999999952</v>
      </c>
      <c r="N93" s="1">
        <f t="shared" si="11"/>
        <v>0.12489370589529269</v>
      </c>
    </row>
    <row r="94" spans="1:14" x14ac:dyDescent="0.2">
      <c r="A94" s="123">
        <v>89</v>
      </c>
      <c r="B94" s="118">
        <f t="shared" si="13"/>
        <v>-1.8415999999999997</v>
      </c>
      <c r="C94" s="123">
        <f t="shared" si="8"/>
        <v>2.6739249264875043E-8</v>
      </c>
      <c r="D94" s="117">
        <f t="shared" si="14"/>
        <v>-2.0000000000000001E-4</v>
      </c>
      <c r="E94" s="124">
        <f t="shared" si="9"/>
        <v>0.99999997326075052</v>
      </c>
      <c r="F94" s="49">
        <f t="shared" si="15"/>
        <v>0</v>
      </c>
      <c r="K94" s="1">
        <v>89</v>
      </c>
      <c r="L94" s="1">
        <f t="shared" si="10"/>
        <v>-0.86837526889102534</v>
      </c>
      <c r="M94" s="122">
        <f t="shared" si="12"/>
        <v>-1.3874999999999953</v>
      </c>
      <c r="N94" s="1">
        <f t="shared" si="11"/>
        <v>0.13162473110897441</v>
      </c>
    </row>
    <row r="95" spans="1:14" x14ac:dyDescent="0.2">
      <c r="A95" s="123">
        <v>90</v>
      </c>
      <c r="B95" s="118">
        <f t="shared" si="13"/>
        <v>-1.8415999999999997</v>
      </c>
      <c r="C95" s="123">
        <f t="shared" si="8"/>
        <v>2.6739249264875043E-8</v>
      </c>
      <c r="D95" s="117">
        <f t="shared" si="14"/>
        <v>-2.0000000000000001E-4</v>
      </c>
      <c r="E95" s="124">
        <f t="shared" si="9"/>
        <v>0.99999997326075052</v>
      </c>
      <c r="F95" s="49">
        <f t="shared" si="15"/>
        <v>0</v>
      </c>
      <c r="K95" s="1">
        <v>90</v>
      </c>
      <c r="L95" s="1">
        <f t="shared" si="10"/>
        <v>-0.86149663354922268</v>
      </c>
      <c r="M95" s="122">
        <f t="shared" si="12"/>
        <v>-1.3749999999999953</v>
      </c>
      <c r="N95" s="1">
        <f t="shared" si="11"/>
        <v>0.13850336645077713</v>
      </c>
    </row>
    <row r="96" spans="1:14" x14ac:dyDescent="0.2">
      <c r="A96" s="123">
        <v>91</v>
      </c>
      <c r="B96" s="118">
        <f t="shared" si="13"/>
        <v>-1.8415999999999997</v>
      </c>
      <c r="C96" s="123">
        <f t="shared" si="8"/>
        <v>2.6739249264875043E-8</v>
      </c>
      <c r="D96" s="117">
        <f t="shared" si="14"/>
        <v>-2.0000000000000001E-4</v>
      </c>
      <c r="E96" s="124">
        <f t="shared" si="9"/>
        <v>0.99999997326075052</v>
      </c>
      <c r="F96" s="49">
        <f t="shared" si="15"/>
        <v>0</v>
      </c>
      <c r="K96" s="1">
        <v>91</v>
      </c>
      <c r="L96" s="1">
        <f t="shared" si="10"/>
        <v>-0.85447295345233876</v>
      </c>
      <c r="M96" s="122">
        <f t="shared" si="12"/>
        <v>-1.3624999999999954</v>
      </c>
      <c r="N96" s="1">
        <f t="shared" si="11"/>
        <v>0.14552704654766108</v>
      </c>
    </row>
    <row r="97" spans="1:14" x14ac:dyDescent="0.2">
      <c r="A97" s="123">
        <v>92</v>
      </c>
      <c r="B97" s="118">
        <f t="shared" si="13"/>
        <v>-1.8415999999999997</v>
      </c>
      <c r="C97" s="123">
        <f t="shared" si="8"/>
        <v>2.6739249264875043E-8</v>
      </c>
      <c r="D97" s="117">
        <f t="shared" si="14"/>
        <v>-2.0000000000000001E-4</v>
      </c>
      <c r="E97" s="124">
        <f t="shared" si="9"/>
        <v>0.99999997326075052</v>
      </c>
      <c r="F97" s="49">
        <f t="shared" si="15"/>
        <v>0</v>
      </c>
      <c r="K97" s="1">
        <v>92</v>
      </c>
      <c r="L97" s="1">
        <f t="shared" si="10"/>
        <v>-0.84730682609990626</v>
      </c>
      <c r="M97" s="122">
        <f t="shared" si="12"/>
        <v>-1.3499999999999954</v>
      </c>
      <c r="N97" s="1">
        <f t="shared" si="11"/>
        <v>0.15269317390009354</v>
      </c>
    </row>
    <row r="98" spans="1:14" x14ac:dyDescent="0.2">
      <c r="A98" s="123">
        <v>93</v>
      </c>
      <c r="B98" s="118">
        <f t="shared" si="13"/>
        <v>-1.8415999999999997</v>
      </c>
      <c r="C98" s="123">
        <f t="shared" si="8"/>
        <v>2.6739249264875043E-8</v>
      </c>
      <c r="D98" s="117">
        <f t="shared" si="14"/>
        <v>-2.0000000000000001E-4</v>
      </c>
      <c r="E98" s="124">
        <f t="shared" si="9"/>
        <v>0.99999997326075052</v>
      </c>
      <c r="F98" s="49">
        <f t="shared" si="15"/>
        <v>0</v>
      </c>
      <c r="K98" s="1">
        <v>93</v>
      </c>
      <c r="L98" s="1">
        <f t="shared" si="10"/>
        <v>-0.8400008813602291</v>
      </c>
      <c r="M98" s="122">
        <f t="shared" si="12"/>
        <v>-1.3374999999999955</v>
      </c>
      <c r="N98" s="1">
        <f t="shared" si="11"/>
        <v>0.15999911863977065</v>
      </c>
    </row>
    <row r="99" spans="1:14" x14ac:dyDescent="0.2">
      <c r="A99" s="123">
        <v>94</v>
      </c>
      <c r="B99" s="118">
        <f t="shared" si="13"/>
        <v>-1.8415999999999997</v>
      </c>
      <c r="C99" s="123">
        <f t="shared" si="8"/>
        <v>2.6739249264875043E-8</v>
      </c>
      <c r="D99" s="117">
        <f t="shared" si="14"/>
        <v>-2.0000000000000001E-4</v>
      </c>
      <c r="E99" s="124">
        <f t="shared" si="9"/>
        <v>0.99999997326075052</v>
      </c>
      <c r="F99" s="49">
        <f t="shared" si="15"/>
        <v>0</v>
      </c>
      <c r="K99" s="1">
        <v>94</v>
      </c>
      <c r="L99" s="1">
        <f t="shared" si="10"/>
        <v>-0.83255778170961836</v>
      </c>
      <c r="M99" s="122">
        <f t="shared" si="12"/>
        <v>-1.3249999999999955</v>
      </c>
      <c r="N99" s="1">
        <f t="shared" si="11"/>
        <v>0.16744221829038144</v>
      </c>
    </row>
    <row r="100" spans="1:14" x14ac:dyDescent="0.2">
      <c r="A100" s="123">
        <v>95</v>
      </c>
      <c r="B100" s="118">
        <f t="shared" si="13"/>
        <v>-1.8415999999999997</v>
      </c>
      <c r="C100" s="123">
        <f t="shared" si="8"/>
        <v>2.6739249264875043E-8</v>
      </c>
      <c r="D100" s="117">
        <f t="shared" si="14"/>
        <v>-2.0000000000000001E-4</v>
      </c>
      <c r="E100" s="124">
        <f t="shared" si="9"/>
        <v>0.99999997326075052</v>
      </c>
      <c r="F100" s="49">
        <f t="shared" si="15"/>
        <v>0</v>
      </c>
      <c r="K100" s="1">
        <v>95</v>
      </c>
      <c r="L100" s="1">
        <f t="shared" si="10"/>
        <v>-0.82498022246837355</v>
      </c>
      <c r="M100" s="122">
        <f t="shared" si="12"/>
        <v>-1.3124999999999956</v>
      </c>
      <c r="N100" s="1">
        <f t="shared" si="11"/>
        <v>0.17501977753162623</v>
      </c>
    </row>
    <row r="101" spans="1:14" x14ac:dyDescent="0.2">
      <c r="A101" s="123">
        <v>96</v>
      </c>
      <c r="B101" s="118">
        <f t="shared" si="13"/>
        <v>-1.8415999999999997</v>
      </c>
      <c r="C101" s="123">
        <f t="shared" si="8"/>
        <v>2.6739249264875043E-8</v>
      </c>
      <c r="D101" s="117">
        <f t="shared" si="14"/>
        <v>-2.0000000000000001E-4</v>
      </c>
      <c r="E101" s="124">
        <f t="shared" si="9"/>
        <v>0.99999997326075052</v>
      </c>
      <c r="F101" s="49">
        <f t="shared" si="15"/>
        <v>0</v>
      </c>
      <c r="K101" s="1">
        <v>96</v>
      </c>
      <c r="L101" s="1">
        <f t="shared" si="10"/>
        <v>-0.81727093203328083</v>
      </c>
      <c r="M101" s="122">
        <f t="shared" si="12"/>
        <v>-1.2999999999999956</v>
      </c>
      <c r="N101" s="1">
        <f t="shared" si="11"/>
        <v>0.18272906796671892</v>
      </c>
    </row>
    <row r="102" spans="1:14" x14ac:dyDescent="0.2">
      <c r="A102" s="123">
        <v>97</v>
      </c>
      <c r="B102" s="118">
        <f t="shared" si="13"/>
        <v>-1.8415999999999997</v>
      </c>
      <c r="C102" s="123">
        <f t="shared" si="8"/>
        <v>2.6739249264875043E-8</v>
      </c>
      <c r="D102" s="117">
        <f t="shared" si="14"/>
        <v>-2.0000000000000001E-4</v>
      </c>
      <c r="E102" s="124">
        <f t="shared" si="9"/>
        <v>0.99999997326075052</v>
      </c>
      <c r="F102" s="49">
        <f t="shared" si="15"/>
        <v>0</v>
      </c>
      <c r="K102" s="1">
        <v>97</v>
      </c>
      <c r="L102" s="1">
        <f t="shared" si="10"/>
        <v>-0.80943267210639847</v>
      </c>
      <c r="M102" s="122">
        <f t="shared" si="12"/>
        <v>-1.2874999999999956</v>
      </c>
      <c r="N102" s="1">
        <f t="shared" si="11"/>
        <v>0.19056732789360134</v>
      </c>
    </row>
    <row r="103" spans="1:14" x14ac:dyDescent="0.2">
      <c r="A103" s="123">
        <v>98</v>
      </c>
      <c r="B103" s="118">
        <f t="shared" si="13"/>
        <v>-1.8415999999999997</v>
      </c>
      <c r="C103" s="123">
        <f t="shared" si="8"/>
        <v>2.6739249264875043E-8</v>
      </c>
      <c r="D103" s="117">
        <f t="shared" si="14"/>
        <v>-2.0000000000000001E-4</v>
      </c>
      <c r="E103" s="124">
        <f t="shared" si="9"/>
        <v>0.99999997326075052</v>
      </c>
      <c r="F103" s="49">
        <f t="shared" si="15"/>
        <v>0</v>
      </c>
      <c r="K103" s="1">
        <v>98</v>
      </c>
      <c r="L103" s="1">
        <f t="shared" si="10"/>
        <v>-0.80146823791988442</v>
      </c>
      <c r="M103" s="122">
        <f t="shared" si="12"/>
        <v>-1.2749999999999957</v>
      </c>
      <c r="N103" s="1">
        <f t="shared" si="11"/>
        <v>0.19853176208011536</v>
      </c>
    </row>
    <row r="104" spans="1:14" x14ac:dyDescent="0.2">
      <c r="A104" s="123">
        <v>99</v>
      </c>
      <c r="B104" s="118">
        <f t="shared" si="13"/>
        <v>-1.8415999999999997</v>
      </c>
      <c r="C104" s="123">
        <f t="shared" si="8"/>
        <v>2.6739249264875043E-8</v>
      </c>
      <c r="D104" s="117">
        <f t="shared" si="14"/>
        <v>-2.0000000000000001E-4</v>
      </c>
      <c r="E104" s="124">
        <f t="shared" si="9"/>
        <v>0.99999997326075052</v>
      </c>
      <c r="F104" s="49">
        <f t="shared" si="15"/>
        <v>0</v>
      </c>
      <c r="K104" s="1">
        <v>99</v>
      </c>
      <c r="L104" s="1">
        <f t="shared" si="10"/>
        <v>-0.79338045845662253</v>
      </c>
      <c r="M104" s="122">
        <f t="shared" si="12"/>
        <v>-1.2624999999999957</v>
      </c>
      <c r="N104" s="1">
        <f t="shared" si="11"/>
        <v>0.20661954154337728</v>
      </c>
    </row>
    <row r="105" spans="1:14" x14ac:dyDescent="0.2">
      <c r="A105" s="123">
        <v>100</v>
      </c>
      <c r="B105" s="118">
        <f t="shared" si="13"/>
        <v>-1.8415999999999997</v>
      </c>
      <c r="C105" s="123">
        <f t="shared" si="8"/>
        <v>2.6739249264875043E-8</v>
      </c>
      <c r="D105" s="117">
        <f t="shared" si="14"/>
        <v>-2.0000000000000001E-4</v>
      </c>
      <c r="E105" s="124">
        <f t="shared" si="9"/>
        <v>0.99999997326075052</v>
      </c>
      <c r="F105" s="49">
        <f t="shared" si="15"/>
        <v>0</v>
      </c>
      <c r="K105" s="1">
        <v>100</v>
      </c>
      <c r="L105" s="1">
        <f t="shared" si="10"/>
        <v>-0.78517219666638327</v>
      </c>
      <c r="M105" s="122">
        <f t="shared" si="12"/>
        <v>-1.2499999999999958</v>
      </c>
      <c r="N105" s="1">
        <f t="shared" si="11"/>
        <v>0.21482780333361648</v>
      </c>
    </row>
    <row r="106" spans="1:14" x14ac:dyDescent="0.2">
      <c r="A106" s="123">
        <v>101</v>
      </c>
      <c r="B106" s="118">
        <f t="shared" si="13"/>
        <v>-1.8415999999999997</v>
      </c>
      <c r="C106" s="123">
        <f t="shared" si="8"/>
        <v>2.6739249264875043E-8</v>
      </c>
      <c r="D106" s="117">
        <f t="shared" si="14"/>
        <v>-2.0000000000000001E-4</v>
      </c>
      <c r="E106" s="124">
        <f t="shared" si="9"/>
        <v>0.99999997326075052</v>
      </c>
      <c r="F106" s="49">
        <f t="shared" si="15"/>
        <v>0</v>
      </c>
      <c r="K106" s="1">
        <v>101</v>
      </c>
      <c r="L106" s="1">
        <f t="shared" si="10"/>
        <v>-0.77684634967726096</v>
      </c>
      <c r="M106" s="122">
        <f t="shared" si="12"/>
        <v>-1.2374999999999958</v>
      </c>
      <c r="N106" s="1">
        <f t="shared" si="11"/>
        <v>0.22315365032273882</v>
      </c>
    </row>
    <row r="107" spans="1:14" x14ac:dyDescent="0.2">
      <c r="A107" s="123">
        <v>102</v>
      </c>
      <c r="B107" s="118">
        <f t="shared" si="13"/>
        <v>-1.8415999999999997</v>
      </c>
      <c r="C107" s="123">
        <f t="shared" si="8"/>
        <v>2.6739249264875043E-8</v>
      </c>
      <c r="D107" s="117">
        <f t="shared" si="14"/>
        <v>-2.0000000000000001E-4</v>
      </c>
      <c r="E107" s="124">
        <f t="shared" si="9"/>
        <v>0.99999997326075052</v>
      </c>
      <c r="F107" s="49">
        <f t="shared" si="15"/>
        <v>0</v>
      </c>
      <c r="K107" s="1">
        <v>102</v>
      </c>
      <c r="L107" s="1">
        <f t="shared" si="10"/>
        <v>-0.7684058490021024</v>
      </c>
      <c r="M107" s="122">
        <f t="shared" si="12"/>
        <v>-1.2249999999999959</v>
      </c>
      <c r="N107" s="1">
        <f t="shared" si="11"/>
        <v>0.23159415099789737</v>
      </c>
    </row>
    <row r="108" spans="1:14" x14ac:dyDescent="0.2">
      <c r="A108" s="123">
        <v>103</v>
      </c>
      <c r="B108" s="118">
        <f t="shared" si="13"/>
        <v>-1.8415999999999997</v>
      </c>
      <c r="C108" s="123">
        <f t="shared" si="8"/>
        <v>2.6739249264875043E-8</v>
      </c>
      <c r="D108" s="117">
        <f t="shared" si="14"/>
        <v>-2.0000000000000001E-4</v>
      </c>
      <c r="E108" s="124">
        <f t="shared" si="9"/>
        <v>0.99999997326075052</v>
      </c>
      <c r="F108" s="49">
        <f t="shared" si="15"/>
        <v>0</v>
      </c>
      <c r="K108" s="1">
        <v>103</v>
      </c>
      <c r="L108" s="1">
        <f t="shared" si="10"/>
        <v>-0.7598536607396511</v>
      </c>
      <c r="M108" s="122">
        <f t="shared" si="12"/>
        <v>-1.2124999999999959</v>
      </c>
      <c r="N108" s="1">
        <f t="shared" si="11"/>
        <v>0.24014633926034867</v>
      </c>
    </row>
    <row r="109" spans="1:14" x14ac:dyDescent="0.2">
      <c r="A109" s="123">
        <v>104</v>
      </c>
      <c r="B109" s="118">
        <f t="shared" si="13"/>
        <v>-1.8415999999999997</v>
      </c>
      <c r="C109" s="123">
        <f t="shared" si="8"/>
        <v>2.6739249264875043E-8</v>
      </c>
      <c r="D109" s="117">
        <f t="shared" si="14"/>
        <v>-2.0000000000000001E-4</v>
      </c>
      <c r="E109" s="124">
        <f t="shared" si="9"/>
        <v>0.99999997326075052</v>
      </c>
      <c r="F109" s="49">
        <f t="shared" si="15"/>
        <v>0</v>
      </c>
      <c r="K109" s="1">
        <v>104</v>
      </c>
      <c r="L109" s="1">
        <f t="shared" si="10"/>
        <v>-0.75119278577010784</v>
      </c>
      <c r="M109" s="122">
        <f t="shared" si="12"/>
        <v>-1.199999999999996</v>
      </c>
      <c r="N109" s="1">
        <f t="shared" si="11"/>
        <v>0.24880721422989197</v>
      </c>
    </row>
    <row r="110" spans="1:14" x14ac:dyDescent="0.2">
      <c r="A110" s="123">
        <v>105</v>
      </c>
      <c r="B110" s="118">
        <f t="shared" si="13"/>
        <v>-1.8415999999999997</v>
      </c>
      <c r="C110" s="123">
        <f t="shared" si="8"/>
        <v>2.6739249264875043E-8</v>
      </c>
      <c r="D110" s="117">
        <f t="shared" si="14"/>
        <v>-2.0000000000000001E-4</v>
      </c>
      <c r="E110" s="124">
        <f t="shared" si="9"/>
        <v>0.99999997326075052</v>
      </c>
      <c r="F110" s="49">
        <f t="shared" si="15"/>
        <v>0</v>
      </c>
      <c r="K110" s="1">
        <v>105</v>
      </c>
      <c r="L110" s="1">
        <f t="shared" si="10"/>
        <v>-0.74242625994480482</v>
      </c>
      <c r="M110" s="122">
        <f t="shared" si="12"/>
        <v>-1.187499999999996</v>
      </c>
      <c r="N110" s="1">
        <f t="shared" si="11"/>
        <v>0.25757374005519501</v>
      </c>
    </row>
    <row r="111" spans="1:14" x14ac:dyDescent="0.2">
      <c r="A111" s="123">
        <v>106</v>
      </c>
      <c r="B111" s="118">
        <f t="shared" si="13"/>
        <v>-1.8415999999999997</v>
      </c>
      <c r="C111" s="123">
        <f t="shared" si="8"/>
        <v>2.6739249264875043E-8</v>
      </c>
      <c r="D111" s="117">
        <f t="shared" si="14"/>
        <v>-2.0000000000000001E-4</v>
      </c>
      <c r="E111" s="124">
        <f t="shared" si="9"/>
        <v>0.99999997326075052</v>
      </c>
      <c r="F111" s="49">
        <f t="shared" si="15"/>
        <v>0</v>
      </c>
      <c r="K111" s="1">
        <v>106</v>
      </c>
      <c r="L111" s="1">
        <f t="shared" si="10"/>
        <v>-0.73355715426967993</v>
      </c>
      <c r="M111" s="122">
        <f t="shared" si="12"/>
        <v>-1.174999999999996</v>
      </c>
      <c r="N111" s="1">
        <f t="shared" si="11"/>
        <v>0.26644284573031979</v>
      </c>
    </row>
    <row r="112" spans="1:14" x14ac:dyDescent="0.2">
      <c r="A112" s="123">
        <v>107</v>
      </c>
      <c r="B112" s="118">
        <f t="shared" si="13"/>
        <v>-1.8415999999999997</v>
      </c>
      <c r="C112" s="123">
        <f t="shared" si="8"/>
        <v>2.6739249264875043E-8</v>
      </c>
      <c r="D112" s="117">
        <f t="shared" si="14"/>
        <v>-2.0000000000000001E-4</v>
      </c>
      <c r="E112" s="124">
        <f t="shared" si="9"/>
        <v>0.99999997326075052</v>
      </c>
      <c r="F112" s="49">
        <f t="shared" si="15"/>
        <v>0</v>
      </c>
      <c r="K112" s="1">
        <v>107</v>
      </c>
      <c r="L112" s="1">
        <f t="shared" si="10"/>
        <v>-0.72458857508222696</v>
      </c>
      <c r="M112" s="122">
        <f t="shared" si="12"/>
        <v>-1.1624999999999961</v>
      </c>
      <c r="N112" s="1">
        <f t="shared" si="11"/>
        <v>0.27541142491777282</v>
      </c>
    </row>
    <row r="113" spans="1:14" x14ac:dyDescent="0.2">
      <c r="A113" s="123">
        <v>108</v>
      </c>
      <c r="B113" s="118">
        <f t="shared" si="13"/>
        <v>-1.8415999999999997</v>
      </c>
      <c r="C113" s="123">
        <f t="shared" si="8"/>
        <v>2.6739249264875043E-8</v>
      </c>
      <c r="D113" s="117">
        <f t="shared" si="14"/>
        <v>-2.0000000000000001E-4</v>
      </c>
      <c r="E113" s="124">
        <f t="shared" si="9"/>
        <v>0.99999997326075052</v>
      </c>
      <c r="F113" s="49">
        <f t="shared" si="15"/>
        <v>0</v>
      </c>
      <c r="K113" s="1">
        <v>108</v>
      </c>
      <c r="L113" s="1">
        <f t="shared" si="10"/>
        <v>-0.71552366422158364</v>
      </c>
      <c r="M113" s="122">
        <f t="shared" si="12"/>
        <v>-1.1499999999999961</v>
      </c>
      <c r="N113" s="1">
        <f t="shared" si="11"/>
        <v>0.28447633577841613</v>
      </c>
    </row>
    <row r="114" spans="1:14" x14ac:dyDescent="0.2">
      <c r="A114" s="123">
        <v>109</v>
      </c>
      <c r="B114" s="118">
        <f t="shared" si="13"/>
        <v>-1.8415999999999997</v>
      </c>
      <c r="C114" s="123">
        <f t="shared" si="8"/>
        <v>2.6739249264875043E-8</v>
      </c>
      <c r="D114" s="117">
        <f t="shared" si="14"/>
        <v>-2.0000000000000001E-4</v>
      </c>
      <c r="E114" s="124">
        <f t="shared" si="9"/>
        <v>0.99999997326075052</v>
      </c>
      <c r="F114" s="49">
        <f t="shared" si="15"/>
        <v>0</v>
      </c>
      <c r="K114" s="1">
        <v>109</v>
      </c>
      <c r="L114" s="1">
        <f t="shared" si="10"/>
        <v>-0.70636559919141761</v>
      </c>
      <c r="M114" s="122">
        <f t="shared" si="12"/>
        <v>-1.1374999999999962</v>
      </c>
      <c r="N114" s="1">
        <f t="shared" si="11"/>
        <v>0.29363440080858216</v>
      </c>
    </row>
    <row r="115" spans="1:14" x14ac:dyDescent="0.2">
      <c r="A115" s="123">
        <v>110</v>
      </c>
      <c r="B115" s="118">
        <f t="shared" si="13"/>
        <v>-1.8415999999999997</v>
      </c>
      <c r="C115" s="123">
        <f t="shared" si="8"/>
        <v>2.6739249264875043E-8</v>
      </c>
      <c r="D115" s="117">
        <f t="shared" si="14"/>
        <v>-2.0000000000000001E-4</v>
      </c>
      <c r="E115" s="124">
        <f t="shared" si="9"/>
        <v>0.99999997326075052</v>
      </c>
      <c r="F115" s="49">
        <f t="shared" si="15"/>
        <v>0</v>
      </c>
      <c r="K115" s="1">
        <v>110</v>
      </c>
      <c r="L115" s="1">
        <f t="shared" si="10"/>
        <v>-0.69711759331524481</v>
      </c>
      <c r="M115" s="122">
        <f t="shared" si="12"/>
        <v>-1.1249999999999962</v>
      </c>
      <c r="N115" s="1">
        <f t="shared" si="11"/>
        <v>0.30288240668475497</v>
      </c>
    </row>
    <row r="116" spans="1:14" x14ac:dyDescent="0.2">
      <c r="A116" s="123">
        <v>111</v>
      </c>
      <c r="B116" s="118">
        <f t="shared" si="13"/>
        <v>-1.8415999999999997</v>
      </c>
      <c r="C116" s="123">
        <f t="shared" si="8"/>
        <v>2.6739249264875043E-8</v>
      </c>
      <c r="D116" s="117">
        <f t="shared" si="14"/>
        <v>-2.0000000000000001E-4</v>
      </c>
      <c r="E116" s="124">
        <f t="shared" si="9"/>
        <v>0.99999997326075052</v>
      </c>
      <c r="F116" s="49">
        <f t="shared" si="15"/>
        <v>0</v>
      </c>
      <c r="K116" s="1">
        <v>111</v>
      </c>
      <c r="L116" s="1">
        <f t="shared" si="10"/>
        <v>-0.68778289588381891</v>
      </c>
      <c r="M116" s="122">
        <f t="shared" si="12"/>
        <v>-1.1124999999999963</v>
      </c>
      <c r="N116" s="1">
        <f t="shared" si="11"/>
        <v>0.31221710411618087</v>
      </c>
    </row>
    <row r="117" spans="1:14" x14ac:dyDescent="0.2">
      <c r="A117" s="123">
        <v>112</v>
      </c>
      <c r="B117" s="118">
        <f t="shared" si="13"/>
        <v>-1.8415999999999997</v>
      </c>
      <c r="C117" s="123">
        <f t="shared" si="8"/>
        <v>2.6739249264875043E-8</v>
      </c>
      <c r="D117" s="117">
        <f t="shared" si="14"/>
        <v>-2.0000000000000001E-4</v>
      </c>
      <c r="E117" s="124">
        <f t="shared" si="9"/>
        <v>0.99999997326075052</v>
      </c>
      <c r="F117" s="49">
        <f t="shared" si="15"/>
        <v>0</v>
      </c>
      <c r="K117" s="1">
        <v>112</v>
      </c>
      <c r="L117" s="1">
        <f t="shared" si="10"/>
        <v>-0.67836479229420643</v>
      </c>
      <c r="M117" s="122">
        <f t="shared" si="12"/>
        <v>-1.0999999999999963</v>
      </c>
      <c r="N117" s="1">
        <f t="shared" si="11"/>
        <v>0.3216352077057934</v>
      </c>
    </row>
    <row r="118" spans="1:14" x14ac:dyDescent="0.2">
      <c r="A118" s="123">
        <v>113</v>
      </c>
      <c r="B118" s="118">
        <f t="shared" si="13"/>
        <v>-1.8415999999999997</v>
      </c>
      <c r="C118" s="123">
        <f t="shared" si="8"/>
        <v>2.6739249264875043E-8</v>
      </c>
      <c r="D118" s="117">
        <f t="shared" si="14"/>
        <v>-2.0000000000000001E-4</v>
      </c>
      <c r="E118" s="124">
        <f t="shared" si="9"/>
        <v>0.99999997326075052</v>
      </c>
      <c r="F118" s="49">
        <f t="shared" si="15"/>
        <v>0</v>
      </c>
      <c r="K118" s="1">
        <v>113</v>
      </c>
      <c r="L118" s="1">
        <f t="shared" si="10"/>
        <v>-0.66886660418015254</v>
      </c>
      <c r="M118" s="122">
        <f t="shared" si="12"/>
        <v>-1.0874999999999964</v>
      </c>
      <c r="N118" s="1">
        <f t="shared" si="11"/>
        <v>0.3311333958198473</v>
      </c>
    </row>
    <row r="119" spans="1:14" x14ac:dyDescent="0.2">
      <c r="A119" s="123">
        <v>114</v>
      </c>
      <c r="B119" s="118">
        <f t="shared" si="13"/>
        <v>-1.8415999999999997</v>
      </c>
      <c r="C119" s="123">
        <f t="shared" si="8"/>
        <v>2.6739249264875043E-8</v>
      </c>
      <c r="D119" s="117">
        <f t="shared" si="14"/>
        <v>-2.0000000000000001E-4</v>
      </c>
      <c r="E119" s="124">
        <f t="shared" si="9"/>
        <v>0.99999997326075052</v>
      </c>
      <c r="F119" s="49">
        <f t="shared" si="15"/>
        <v>0</v>
      </c>
      <c r="K119" s="1">
        <v>114</v>
      </c>
      <c r="L119" s="1">
        <f t="shared" si="10"/>
        <v>-0.6592916895333385</v>
      </c>
      <c r="M119" s="122">
        <f t="shared" si="12"/>
        <v>-1.0749999999999964</v>
      </c>
      <c r="N119" s="1">
        <f t="shared" si="11"/>
        <v>0.34070831046666128</v>
      </c>
    </row>
    <row r="120" spans="1:14" x14ac:dyDescent="0.2">
      <c r="A120" s="123">
        <v>115</v>
      </c>
      <c r="B120" s="118">
        <f t="shared" si="13"/>
        <v>-1.8415999999999997</v>
      </c>
      <c r="C120" s="123">
        <f t="shared" si="8"/>
        <v>2.6739249264875043E-8</v>
      </c>
      <c r="D120" s="117">
        <f t="shared" si="14"/>
        <v>-2.0000000000000001E-4</v>
      </c>
      <c r="E120" s="124">
        <f t="shared" si="9"/>
        <v>0.99999997326075052</v>
      </c>
      <c r="F120" s="49">
        <f t="shared" si="15"/>
        <v>0</v>
      </c>
      <c r="K120" s="1">
        <v>115</v>
      </c>
      <c r="L120" s="1">
        <f t="shared" si="10"/>
        <v>-0.64964344281510455</v>
      </c>
      <c r="M120" s="122">
        <f t="shared" si="12"/>
        <v>-1.0624999999999964</v>
      </c>
      <c r="N120" s="1">
        <f t="shared" si="11"/>
        <v>0.35035655718489522</v>
      </c>
    </row>
    <row r="121" spans="1:14" x14ac:dyDescent="0.2">
      <c r="A121" s="123">
        <v>116</v>
      </c>
      <c r="B121" s="118">
        <f t="shared" si="13"/>
        <v>-1.8415999999999997</v>
      </c>
      <c r="C121" s="123">
        <f t="shared" si="8"/>
        <v>2.6739249264875043E-8</v>
      </c>
      <c r="D121" s="117">
        <f t="shared" si="14"/>
        <v>-2.0000000000000001E-4</v>
      </c>
      <c r="E121" s="124">
        <f t="shared" si="9"/>
        <v>0.99999997326075052</v>
      </c>
      <c r="F121" s="49">
        <f t="shared" si="15"/>
        <v>0</v>
      </c>
      <c r="K121" s="1">
        <v>116</v>
      </c>
      <c r="L121" s="1">
        <f t="shared" si="10"/>
        <v>-0.63992529505821039</v>
      </c>
      <c r="M121" s="122">
        <f t="shared" si="12"/>
        <v>-1.0499999999999965</v>
      </c>
      <c r="N121" s="1">
        <f t="shared" si="11"/>
        <v>0.36007470494178945</v>
      </c>
    </row>
    <row r="122" spans="1:14" x14ac:dyDescent="0.2">
      <c r="A122" s="123">
        <v>117</v>
      </c>
      <c r="B122" s="118">
        <f t="shared" si="13"/>
        <v>-1.8415999999999997</v>
      </c>
      <c r="C122" s="123">
        <f t="shared" si="8"/>
        <v>2.6739249264875043E-8</v>
      </c>
      <c r="D122" s="117">
        <f t="shared" si="14"/>
        <v>-2.0000000000000001E-4</v>
      </c>
      <c r="E122" s="124">
        <f t="shared" si="9"/>
        <v>0.99999997326075052</v>
      </c>
      <c r="F122" s="49">
        <f t="shared" si="15"/>
        <v>0</v>
      </c>
      <c r="K122" s="1">
        <v>117</v>
      </c>
      <c r="L122" s="1">
        <f t="shared" si="10"/>
        <v>-0.63014071395818316</v>
      </c>
      <c r="M122" s="122">
        <f t="shared" si="12"/>
        <v>-1.0374999999999965</v>
      </c>
      <c r="N122" s="1">
        <f t="shared" si="11"/>
        <v>0.36985928604181667</v>
      </c>
    </row>
    <row r="123" spans="1:14" x14ac:dyDescent="0.2">
      <c r="A123" s="123">
        <v>118</v>
      </c>
      <c r="B123" s="118">
        <f t="shared" si="13"/>
        <v>-1.8415999999999997</v>
      </c>
      <c r="C123" s="123">
        <f t="shared" si="8"/>
        <v>2.6739249264875043E-8</v>
      </c>
      <c r="D123" s="117">
        <f t="shared" si="14"/>
        <v>-2.0000000000000001E-4</v>
      </c>
      <c r="E123" s="124">
        <f t="shared" si="9"/>
        <v>0.99999997326075052</v>
      </c>
      <c r="F123" s="49">
        <f t="shared" si="15"/>
        <v>0</v>
      </c>
      <c r="K123" s="1">
        <v>118</v>
      </c>
      <c r="L123" s="1">
        <f t="shared" si="10"/>
        <v>-0.62029320395379839</v>
      </c>
      <c r="M123" s="122">
        <f t="shared" si="12"/>
        <v>-1.0249999999999966</v>
      </c>
      <c r="N123" s="1">
        <f t="shared" si="11"/>
        <v>0.37970679604620139</v>
      </c>
    </row>
    <row r="124" spans="1:14" x14ac:dyDescent="0.2">
      <c r="A124" s="123">
        <v>119</v>
      </c>
      <c r="B124" s="118">
        <f t="shared" si="13"/>
        <v>-1.8415999999999997</v>
      </c>
      <c r="C124" s="123">
        <f t="shared" si="8"/>
        <v>2.6739249264875043E-8</v>
      </c>
      <c r="D124" s="117">
        <f t="shared" si="14"/>
        <v>-2.0000000000000001E-4</v>
      </c>
      <c r="E124" s="124">
        <f t="shared" si="9"/>
        <v>0.99999997326075052</v>
      </c>
      <c r="F124" s="49">
        <f t="shared" si="15"/>
        <v>0</v>
      </c>
      <c r="K124" s="1">
        <v>119</v>
      </c>
      <c r="L124" s="1">
        <f t="shared" si="10"/>
        <v>-0.61038630629621404</v>
      </c>
      <c r="M124" s="122">
        <f t="shared" si="12"/>
        <v>-1.0124999999999966</v>
      </c>
      <c r="N124" s="1">
        <f t="shared" si="11"/>
        <v>0.38961369370378568</v>
      </c>
    </row>
    <row r="125" spans="1:14" x14ac:dyDescent="0.2">
      <c r="A125" s="123">
        <v>120</v>
      </c>
      <c r="B125" s="118">
        <f t="shared" si="13"/>
        <v>-1.8415999999999997</v>
      </c>
      <c r="C125" s="123">
        <f t="shared" si="8"/>
        <v>2.6739249264875043E-8</v>
      </c>
      <c r="D125" s="117">
        <f t="shared" si="14"/>
        <v>-2.0000000000000001E-4</v>
      </c>
      <c r="E125" s="124">
        <f t="shared" si="9"/>
        <v>0.99999997326075052</v>
      </c>
      <c r="F125" s="49">
        <f t="shared" si="15"/>
        <v>0</v>
      </c>
      <c r="K125" s="1">
        <v>120</v>
      </c>
      <c r="L125" s="1">
        <f t="shared" si="10"/>
        <v>-0.60042359910626919</v>
      </c>
      <c r="M125" s="122">
        <f t="shared" si="12"/>
        <v>-0.99999999999999667</v>
      </c>
      <c r="N125" s="1">
        <f t="shared" si="11"/>
        <v>0.39957640089373053</v>
      </c>
    </row>
    <row r="126" spans="1:14" x14ac:dyDescent="0.2">
      <c r="A126" s="123">
        <v>121</v>
      </c>
      <c r="B126" s="118">
        <f t="shared" si="13"/>
        <v>-1.8415999999999997</v>
      </c>
      <c r="C126" s="123">
        <f t="shared" si="8"/>
        <v>2.6739249264875043E-8</v>
      </c>
      <c r="D126" s="117">
        <f t="shared" si="14"/>
        <v>-2.0000000000000001E-4</v>
      </c>
      <c r="E126" s="124">
        <f t="shared" si="9"/>
        <v>0.99999997326075052</v>
      </c>
      <c r="F126" s="49">
        <f t="shared" si="15"/>
        <v>0</v>
      </c>
      <c r="K126" s="1">
        <v>121</v>
      </c>
      <c r="L126" s="1">
        <f t="shared" si="10"/>
        <v>-0.59040869741944324</v>
      </c>
      <c r="M126" s="122">
        <f t="shared" si="12"/>
        <v>-0.98749999999999671</v>
      </c>
      <c r="N126" s="1">
        <f t="shared" si="11"/>
        <v>0.40959130258055654</v>
      </c>
    </row>
    <row r="127" spans="1:14" x14ac:dyDescent="0.2">
      <c r="A127" s="123">
        <v>122</v>
      </c>
      <c r="B127" s="118">
        <f t="shared" si="13"/>
        <v>-1.8415999999999997</v>
      </c>
      <c r="C127" s="123">
        <f t="shared" si="8"/>
        <v>2.6739249264875043E-8</v>
      </c>
      <c r="D127" s="117">
        <f t="shared" si="14"/>
        <v>-2.0000000000000001E-4</v>
      </c>
      <c r="E127" s="124">
        <f t="shared" si="9"/>
        <v>0.99999997326075052</v>
      </c>
      <c r="F127" s="49">
        <f t="shared" si="15"/>
        <v>0</v>
      </c>
      <c r="K127" s="1">
        <v>122</v>
      </c>
      <c r="L127" s="1">
        <f t="shared" si="10"/>
        <v>-0.58034525321795516</v>
      </c>
      <c r="M127" s="122">
        <f t="shared" si="12"/>
        <v>-0.97499999999999676</v>
      </c>
      <c r="N127" s="1">
        <f t="shared" si="11"/>
        <v>0.41965474678204462</v>
      </c>
    </row>
    <row r="128" spans="1:14" x14ac:dyDescent="0.2">
      <c r="A128" s="123">
        <v>123</v>
      </c>
      <c r="B128" s="118">
        <f t="shared" si="13"/>
        <v>-1.8415999999999997</v>
      </c>
      <c r="C128" s="123">
        <f t="shared" si="8"/>
        <v>2.6739249264875043E-8</v>
      </c>
      <c r="D128" s="117">
        <f t="shared" si="14"/>
        <v>-2.0000000000000001E-4</v>
      </c>
      <c r="E128" s="124">
        <f t="shared" si="9"/>
        <v>0.99999997326075052</v>
      </c>
      <c r="F128" s="49">
        <f t="shared" si="15"/>
        <v>0</v>
      </c>
      <c r="K128" s="1">
        <v>123</v>
      </c>
      <c r="L128" s="1">
        <f t="shared" si="10"/>
        <v>-0.57023695544946373</v>
      </c>
      <c r="M128" s="122">
        <f t="shared" si="12"/>
        <v>-0.9624999999999968</v>
      </c>
      <c r="N128" s="1">
        <f t="shared" si="11"/>
        <v>0.42976304455053599</v>
      </c>
    </row>
    <row r="129" spans="1:14" x14ac:dyDescent="0.2">
      <c r="A129" s="123">
        <v>124</v>
      </c>
      <c r="B129" s="118">
        <f t="shared" si="13"/>
        <v>-1.8415999999999997</v>
      </c>
      <c r="C129" s="123">
        <f t="shared" si="8"/>
        <v>2.6739249264875043E-8</v>
      </c>
      <c r="D129" s="117">
        <f t="shared" si="14"/>
        <v>-2.0000000000000001E-4</v>
      </c>
      <c r="E129" s="124">
        <f t="shared" si="9"/>
        <v>0.99999997326075052</v>
      </c>
      <c r="F129" s="49">
        <f t="shared" si="15"/>
        <v>0</v>
      </c>
      <c r="K129" s="1">
        <v>124</v>
      </c>
      <c r="L129" s="1">
        <f t="shared" si="10"/>
        <v>-0.56008753003181488</v>
      </c>
      <c r="M129" s="122">
        <f t="shared" si="12"/>
        <v>-0.94999999999999685</v>
      </c>
      <c r="N129" s="1">
        <f t="shared" si="11"/>
        <v>0.43991246996818489</v>
      </c>
    </row>
    <row r="130" spans="1:14" x14ac:dyDescent="0.2">
      <c r="A130" s="123">
        <v>125</v>
      </c>
      <c r="B130" s="118">
        <f t="shared" si="13"/>
        <v>-1.8415999999999997</v>
      </c>
      <c r="C130" s="123">
        <f t="shared" si="8"/>
        <v>2.6739249264875043E-8</v>
      </c>
      <c r="D130" s="117">
        <f t="shared" si="14"/>
        <v>-2.0000000000000001E-4</v>
      </c>
      <c r="E130" s="124">
        <f t="shared" si="9"/>
        <v>0.99999997326075052</v>
      </c>
      <c r="F130" s="49">
        <f t="shared" si="15"/>
        <v>0</v>
      </c>
      <c r="K130" s="1">
        <v>125</v>
      </c>
      <c r="L130" s="1">
        <f t="shared" si="10"/>
        <v>-0.54990073984326671</v>
      </c>
      <c r="M130" s="122">
        <f t="shared" si="12"/>
        <v>-0.93749999999999689</v>
      </c>
      <c r="N130" s="1">
        <f t="shared" si="11"/>
        <v>0.45009926015673313</v>
      </c>
    </row>
    <row r="131" spans="1:14" x14ac:dyDescent="0.2">
      <c r="A131" s="123">
        <v>126</v>
      </c>
      <c r="B131" s="118">
        <f t="shared" si="13"/>
        <v>-1.8415999999999997</v>
      </c>
      <c r="C131" s="123">
        <f t="shared" si="8"/>
        <v>2.6739249264875043E-8</v>
      </c>
      <c r="D131" s="117">
        <f t="shared" si="14"/>
        <v>-2.0000000000000001E-4</v>
      </c>
      <c r="E131" s="124">
        <f t="shared" si="9"/>
        <v>0.99999997326075052</v>
      </c>
      <c r="F131" s="49">
        <f t="shared" si="15"/>
        <v>0</v>
      </c>
      <c r="K131" s="1">
        <v>126</v>
      </c>
      <c r="L131" s="1">
        <f t="shared" si="10"/>
        <v>-0.53968038469760415</v>
      </c>
      <c r="M131" s="122">
        <f t="shared" si="12"/>
        <v>-0.92499999999999694</v>
      </c>
      <c r="N131" s="1">
        <f t="shared" si="11"/>
        <v>0.46031961530239557</v>
      </c>
    </row>
    <row r="132" spans="1:14" x14ac:dyDescent="0.2">
      <c r="A132" s="123">
        <v>127</v>
      </c>
      <c r="B132" s="118">
        <f t="shared" si="13"/>
        <v>-1.8415999999999997</v>
      </c>
      <c r="C132" s="123">
        <f t="shared" si="8"/>
        <v>2.6739249264875043E-8</v>
      </c>
      <c r="D132" s="117">
        <f t="shared" si="14"/>
        <v>-2.0000000000000001E-4</v>
      </c>
      <c r="E132" s="124">
        <f t="shared" si="9"/>
        <v>0.99999997326075052</v>
      </c>
      <c r="F132" s="49">
        <f t="shared" si="15"/>
        <v>0</v>
      </c>
      <c r="K132" s="1">
        <v>127</v>
      </c>
      <c r="L132" s="1">
        <f t="shared" si="10"/>
        <v>-0.52943030130353297</v>
      </c>
      <c r="M132" s="122">
        <f t="shared" si="12"/>
        <v>-0.91249999999999698</v>
      </c>
      <c r="N132" s="1">
        <f t="shared" si="11"/>
        <v>0.47056969869646681</v>
      </c>
    </row>
    <row r="133" spans="1:14" x14ac:dyDescent="0.2">
      <c r="A133" s="123">
        <v>128</v>
      </c>
      <c r="B133" s="118">
        <f t="shared" si="13"/>
        <v>-1.8415999999999997</v>
      </c>
      <c r="C133" s="123">
        <f t="shared" si="8"/>
        <v>2.6739249264875043E-8</v>
      </c>
      <c r="D133" s="117">
        <f t="shared" si="14"/>
        <v>-2.0000000000000001E-4</v>
      </c>
      <c r="E133" s="124">
        <f t="shared" si="9"/>
        <v>0.99999997326075052</v>
      </c>
      <c r="F133" s="49">
        <f t="shared" si="15"/>
        <v>0</v>
      </c>
      <c r="K133" s="1">
        <v>128</v>
      </c>
      <c r="L133" s="1">
        <f t="shared" si="10"/>
        <v>-0.5191543632077289</v>
      </c>
      <c r="M133" s="122">
        <f t="shared" si="12"/>
        <v>-0.89999999999999702</v>
      </c>
      <c r="N133" s="1">
        <f t="shared" si="11"/>
        <v>0.48084563679227094</v>
      </c>
    </row>
    <row r="134" spans="1:14" x14ac:dyDescent="0.2">
      <c r="A134" s="123">
        <v>129</v>
      </c>
      <c r="B134" s="118">
        <f t="shared" si="13"/>
        <v>-1.8415999999999997</v>
      </c>
      <c r="C134" s="123">
        <f t="shared" ref="C134:C197" si="16">(EXP(B134)-2-B134)^2</f>
        <v>2.6739249264875043E-8</v>
      </c>
      <c r="D134" s="117">
        <f t="shared" si="14"/>
        <v>-2.0000000000000001E-4</v>
      </c>
      <c r="E134" s="124">
        <f t="shared" ref="E134:E197" si="17">$R$5-C134</f>
        <v>0.99999997326075052</v>
      </c>
      <c r="F134" s="49">
        <f t="shared" si="15"/>
        <v>0</v>
      </c>
      <c r="K134" s="1">
        <v>129</v>
      </c>
      <c r="L134" s="1">
        <f t="shared" ref="L134:L197" si="18">N134-$R$5</f>
        <v>-0.50885648072090028</v>
      </c>
      <c r="M134" s="122">
        <f t="shared" si="12"/>
        <v>-0.88749999999999707</v>
      </c>
      <c r="N134" s="1">
        <f t="shared" ref="N134:N197" si="19">(EXP(M134)-2-M134)^2</f>
        <v>0.49114351927909949</v>
      </c>
    </row>
    <row r="135" spans="1:14" x14ac:dyDescent="0.2">
      <c r="A135" s="123">
        <v>130</v>
      </c>
      <c r="B135" s="118">
        <f t="shared" si="13"/>
        <v>-1.8415999999999997</v>
      </c>
      <c r="C135" s="123">
        <f t="shared" si="16"/>
        <v>2.6739249264875043E-8</v>
      </c>
      <c r="D135" s="117">
        <f t="shared" si="14"/>
        <v>-2.0000000000000001E-4</v>
      </c>
      <c r="E135" s="124">
        <f t="shared" si="17"/>
        <v>0.99999997326075052</v>
      </c>
      <c r="F135" s="49">
        <f t="shared" si="15"/>
        <v>0</v>
      </c>
      <c r="K135" s="1">
        <v>130</v>
      </c>
      <c r="L135" s="1">
        <f t="shared" si="18"/>
        <v>-0.49854060082619611</v>
      </c>
      <c r="M135" s="122">
        <f t="shared" ref="M135:M198" si="20">M134+$O$5</f>
        <v>-0.87499999999999711</v>
      </c>
      <c r="N135" s="1">
        <f t="shared" si="19"/>
        <v>0.50145939917380367</v>
      </c>
    </row>
    <row r="136" spans="1:14" x14ac:dyDescent="0.2">
      <c r="A136" s="123">
        <v>131</v>
      </c>
      <c r="B136" s="118">
        <f t="shared" ref="B136:B199" si="21">IF(C135&gt;=C134,
         IF(ABS(D135)&lt;=($G$5/$I$5),
                         B135,
                         B135+D136),
         B135+D136)</f>
        <v>-1.8415999999999997</v>
      </c>
      <c r="C136" s="123">
        <f t="shared" si="16"/>
        <v>2.6739249264875043E-8</v>
      </c>
      <c r="D136" s="117">
        <f t="shared" ref="D136:D199" si="22">IF(C135&gt;=C134,
         IF(ABS(D135)&lt;=($G$5/$I$5),
                         D135,
                         -D135/$I$5),
         D135)</f>
        <v>-2.0000000000000001E-4</v>
      </c>
      <c r="E136" s="124">
        <f t="shared" si="17"/>
        <v>0.99999997326075052</v>
      </c>
      <c r="F136" s="49">
        <f t="shared" si="15"/>
        <v>0</v>
      </c>
      <c r="K136" s="1">
        <v>131</v>
      </c>
      <c r="L136" s="1">
        <f t="shared" si="18"/>
        <v>-0.48821070706927572</v>
      </c>
      <c r="M136" s="122">
        <f t="shared" si="20"/>
        <v>-0.86249999999999716</v>
      </c>
      <c r="N136" s="1">
        <f t="shared" si="19"/>
        <v>0.51178929293072406</v>
      </c>
    </row>
    <row r="137" spans="1:14" x14ac:dyDescent="0.2">
      <c r="A137" s="123">
        <v>132</v>
      </c>
      <c r="B137" s="118">
        <f t="shared" si="21"/>
        <v>-1.8415999999999997</v>
      </c>
      <c r="C137" s="123">
        <f t="shared" si="16"/>
        <v>2.6739249264875043E-8</v>
      </c>
      <c r="D137" s="117">
        <f t="shared" si="22"/>
        <v>-2.0000000000000001E-4</v>
      </c>
      <c r="E137" s="124">
        <f t="shared" si="17"/>
        <v>0.99999997326075052</v>
      </c>
      <c r="F137" s="49">
        <f t="shared" ref="F137:F200" si="23">ABS(B137-B136)</f>
        <v>0</v>
      </c>
      <c r="K137" s="1">
        <v>132</v>
      </c>
      <c r="L137" s="1">
        <f t="shared" si="18"/>
        <v>-0.47787081942933429</v>
      </c>
      <c r="M137" s="122">
        <f t="shared" si="20"/>
        <v>-0.8499999999999972</v>
      </c>
      <c r="N137" s="1">
        <f t="shared" si="19"/>
        <v>0.52212918057066549</v>
      </c>
    </row>
    <row r="138" spans="1:14" x14ac:dyDescent="0.2">
      <c r="A138" s="123">
        <v>133</v>
      </c>
      <c r="B138" s="118">
        <f t="shared" si="21"/>
        <v>-1.8415999999999997</v>
      </c>
      <c r="C138" s="123">
        <f t="shared" si="16"/>
        <v>2.6739249264875043E-8</v>
      </c>
      <c r="D138" s="117">
        <f t="shared" si="22"/>
        <v>-2.0000000000000001E-4</v>
      </c>
      <c r="E138" s="124">
        <f t="shared" si="17"/>
        <v>0.99999997326075052</v>
      </c>
      <c r="F138" s="49">
        <f t="shared" si="23"/>
        <v>0</v>
      </c>
      <c r="K138" s="1">
        <v>133</v>
      </c>
      <c r="L138" s="1">
        <f t="shared" si="18"/>
        <v>-0.46752499417036075</v>
      </c>
      <c r="M138" s="122">
        <f t="shared" si="20"/>
        <v>-0.83749999999999725</v>
      </c>
      <c r="N138" s="1">
        <f t="shared" si="19"/>
        <v>0.53247500582963903</v>
      </c>
    </row>
    <row r="139" spans="1:14" x14ac:dyDescent="0.2">
      <c r="A139" s="123">
        <v>134</v>
      </c>
      <c r="B139" s="118">
        <f t="shared" si="21"/>
        <v>-1.8415999999999997</v>
      </c>
      <c r="C139" s="123">
        <f t="shared" si="16"/>
        <v>2.6739249264875043E-8</v>
      </c>
      <c r="D139" s="117">
        <f t="shared" si="22"/>
        <v>-2.0000000000000001E-4</v>
      </c>
      <c r="E139" s="124">
        <f t="shared" si="17"/>
        <v>0.99999997326075052</v>
      </c>
      <c r="F139" s="49">
        <f t="shared" si="23"/>
        <v>0</v>
      </c>
      <c r="K139" s="1">
        <v>134</v>
      </c>
      <c r="L139" s="1">
        <f t="shared" si="18"/>
        <v>-0.45717732367187414</v>
      </c>
      <c r="M139" s="122">
        <f t="shared" si="20"/>
        <v>-0.82499999999999729</v>
      </c>
      <c r="N139" s="1">
        <f t="shared" si="19"/>
        <v>0.54282267632812564</v>
      </c>
    </row>
    <row r="140" spans="1:14" x14ac:dyDescent="0.2">
      <c r="A140" s="123">
        <v>135</v>
      </c>
      <c r="B140" s="118">
        <f t="shared" si="21"/>
        <v>-1.8415999999999997</v>
      </c>
      <c r="C140" s="123">
        <f t="shared" si="16"/>
        <v>2.6739249264875043E-8</v>
      </c>
      <c r="D140" s="117">
        <f t="shared" si="22"/>
        <v>-2.0000000000000001E-4</v>
      </c>
      <c r="E140" s="124">
        <f t="shared" si="17"/>
        <v>0.99999997326075052</v>
      </c>
      <c r="F140" s="49">
        <f t="shared" si="23"/>
        <v>0</v>
      </c>
      <c r="K140" s="1">
        <v>135</v>
      </c>
      <c r="L140" s="1">
        <f t="shared" si="18"/>
        <v>-0.44683193623836803</v>
      </c>
      <c r="M140" s="122">
        <f t="shared" si="20"/>
        <v>-0.81249999999999734</v>
      </c>
      <c r="N140" s="1">
        <f t="shared" si="19"/>
        <v>0.55316806376163175</v>
      </c>
    </row>
    <row r="141" spans="1:14" x14ac:dyDescent="0.2">
      <c r="A141" s="123">
        <v>136</v>
      </c>
      <c r="B141" s="118">
        <f t="shared" si="21"/>
        <v>-1.8415999999999997</v>
      </c>
      <c r="C141" s="123">
        <f t="shared" si="16"/>
        <v>2.6739249264875043E-8</v>
      </c>
      <c r="D141" s="117">
        <f t="shared" si="22"/>
        <v>-2.0000000000000001E-4</v>
      </c>
      <c r="E141" s="124">
        <f t="shared" si="17"/>
        <v>0.99999997326075052</v>
      </c>
      <c r="F141" s="49">
        <f t="shared" si="23"/>
        <v>0</v>
      </c>
      <c r="K141" s="1">
        <v>136</v>
      </c>
      <c r="L141" s="1">
        <f t="shared" si="18"/>
        <v>-0.43649299588667423</v>
      </c>
      <c r="M141" s="122">
        <f t="shared" si="20"/>
        <v>-0.79999999999999738</v>
      </c>
      <c r="N141" s="1">
        <f t="shared" si="19"/>
        <v>0.56350700411332555</v>
      </c>
    </row>
    <row r="142" spans="1:14" x14ac:dyDescent="0.2">
      <c r="A142" s="123">
        <v>137</v>
      </c>
      <c r="B142" s="118">
        <f t="shared" si="21"/>
        <v>-1.8415999999999997</v>
      </c>
      <c r="C142" s="123">
        <f t="shared" si="16"/>
        <v>2.6739249264875043E-8</v>
      </c>
      <c r="D142" s="117">
        <f t="shared" si="22"/>
        <v>-2.0000000000000001E-4</v>
      </c>
      <c r="E142" s="124">
        <f t="shared" si="17"/>
        <v>0.99999997326075052</v>
      </c>
      <c r="F142" s="49">
        <f t="shared" si="23"/>
        <v>0</v>
      </c>
      <c r="K142" s="1">
        <v>137</v>
      </c>
      <c r="L142" s="1">
        <f t="shared" si="18"/>
        <v>-0.4261647021104159</v>
      </c>
      <c r="M142" s="122">
        <f t="shared" si="20"/>
        <v>-0.78749999999999742</v>
      </c>
      <c r="N142" s="1">
        <f t="shared" si="19"/>
        <v>0.57383529788958387</v>
      </c>
    </row>
    <row r="143" spans="1:14" x14ac:dyDescent="0.2">
      <c r="A143" s="123">
        <v>138</v>
      </c>
      <c r="B143" s="118">
        <f t="shared" si="21"/>
        <v>-1.8415999999999997</v>
      </c>
      <c r="C143" s="123">
        <f t="shared" si="16"/>
        <v>2.6739249264875043E-8</v>
      </c>
      <c r="D143" s="117">
        <f t="shared" si="22"/>
        <v>-2.0000000000000001E-4</v>
      </c>
      <c r="E143" s="124">
        <f t="shared" si="17"/>
        <v>0.99999997326075052</v>
      </c>
      <c r="F143" s="49">
        <f t="shared" si="23"/>
        <v>0</v>
      </c>
      <c r="K143" s="1">
        <v>138</v>
      </c>
      <c r="L143" s="1">
        <f t="shared" si="18"/>
        <v>-0.41585128962072082</v>
      </c>
      <c r="M143" s="122">
        <f t="shared" si="20"/>
        <v>-0.77499999999999747</v>
      </c>
      <c r="N143" s="1">
        <f t="shared" si="19"/>
        <v>0.58414871037927896</v>
      </c>
    </row>
    <row r="144" spans="1:14" x14ac:dyDescent="0.2">
      <c r="A144" s="123">
        <v>139</v>
      </c>
      <c r="B144" s="118">
        <f t="shared" si="21"/>
        <v>-1.8415999999999997</v>
      </c>
      <c r="C144" s="123">
        <f t="shared" si="16"/>
        <v>2.6739249264875043E-8</v>
      </c>
      <c r="D144" s="117">
        <f t="shared" si="22"/>
        <v>-2.0000000000000001E-4</v>
      </c>
      <c r="E144" s="124">
        <f t="shared" si="17"/>
        <v>0.99999997326075052</v>
      </c>
      <c r="F144" s="49">
        <f t="shared" si="23"/>
        <v>0</v>
      </c>
      <c r="K144" s="1">
        <v>139</v>
      </c>
      <c r="L144" s="1">
        <f t="shared" si="18"/>
        <v>-0.40555702806231453</v>
      </c>
      <c r="M144" s="122">
        <f t="shared" si="20"/>
        <v>-0.76249999999999751</v>
      </c>
      <c r="N144" s="1">
        <f t="shared" si="19"/>
        <v>0.59444297193768525</v>
      </c>
    </row>
    <row r="145" spans="1:14" x14ac:dyDescent="0.2">
      <c r="A145" s="123">
        <v>140</v>
      </c>
      <c r="B145" s="118">
        <f t="shared" si="21"/>
        <v>-1.8415999999999997</v>
      </c>
      <c r="C145" s="123">
        <f t="shared" si="16"/>
        <v>2.6739249264875043E-8</v>
      </c>
      <c r="D145" s="117">
        <f t="shared" si="22"/>
        <v>-2.0000000000000001E-4</v>
      </c>
      <c r="E145" s="124">
        <f t="shared" si="17"/>
        <v>0.99999997326075052</v>
      </c>
      <c r="F145" s="49">
        <f t="shared" si="23"/>
        <v>0</v>
      </c>
      <c r="K145" s="1">
        <v>140</v>
      </c>
      <c r="L145" s="1">
        <f t="shared" si="18"/>
        <v>-0.39528622170410477</v>
      </c>
      <c r="M145" s="122">
        <f t="shared" si="20"/>
        <v>-0.74999999999999756</v>
      </c>
      <c r="N145" s="1">
        <f t="shared" si="19"/>
        <v>0.60471377829589501</v>
      </c>
    </row>
    <row r="146" spans="1:14" x14ac:dyDescent="0.2">
      <c r="A146" s="123">
        <v>141</v>
      </c>
      <c r="B146" s="118">
        <f t="shared" si="21"/>
        <v>-1.8415999999999997</v>
      </c>
      <c r="C146" s="123">
        <f t="shared" si="16"/>
        <v>2.6739249264875043E-8</v>
      </c>
      <c r="D146" s="117">
        <f t="shared" si="22"/>
        <v>-2.0000000000000001E-4</v>
      </c>
      <c r="E146" s="124">
        <f t="shared" si="17"/>
        <v>0.99999997326075052</v>
      </c>
      <c r="F146" s="49">
        <f t="shared" si="23"/>
        <v>0</v>
      </c>
      <c r="K146" s="1">
        <v>141</v>
      </c>
      <c r="L146" s="1">
        <f t="shared" si="18"/>
        <v>-0.38504320910333778</v>
      </c>
      <c r="M146" s="122">
        <f t="shared" si="20"/>
        <v>-0.7374999999999976</v>
      </c>
      <c r="N146" s="1">
        <f t="shared" si="19"/>
        <v>0.614956790896662</v>
      </c>
    </row>
    <row r="147" spans="1:14" x14ac:dyDescent="0.2">
      <c r="A147" s="123">
        <v>142</v>
      </c>
      <c r="B147" s="118">
        <f t="shared" si="21"/>
        <v>-1.8415999999999997</v>
      </c>
      <c r="C147" s="123">
        <f t="shared" si="16"/>
        <v>2.6739249264875043E-8</v>
      </c>
      <c r="D147" s="117">
        <f t="shared" si="22"/>
        <v>-2.0000000000000001E-4</v>
      </c>
      <c r="E147" s="124">
        <f t="shared" si="17"/>
        <v>0.99999997326075052</v>
      </c>
      <c r="F147" s="49">
        <f t="shared" si="23"/>
        <v>0</v>
      </c>
      <c r="K147" s="1">
        <v>142</v>
      </c>
      <c r="L147" s="1">
        <f t="shared" si="18"/>
        <v>-0.37483236274237464</v>
      </c>
      <c r="M147" s="122">
        <f t="shared" si="20"/>
        <v>-0.72499999999999765</v>
      </c>
      <c r="N147" s="1">
        <f t="shared" si="19"/>
        <v>0.62516763725762514</v>
      </c>
    </row>
    <row r="148" spans="1:14" x14ac:dyDescent="0.2">
      <c r="A148" s="123">
        <v>143</v>
      </c>
      <c r="B148" s="118">
        <f t="shared" si="21"/>
        <v>-1.8415999999999997</v>
      </c>
      <c r="C148" s="123">
        <f t="shared" si="16"/>
        <v>2.6739249264875043E-8</v>
      </c>
      <c r="D148" s="117">
        <f t="shared" si="22"/>
        <v>-2.0000000000000001E-4</v>
      </c>
      <c r="E148" s="124">
        <f t="shared" si="17"/>
        <v>0.99999997326075052</v>
      </c>
      <c r="F148" s="49">
        <f t="shared" si="23"/>
        <v>0</v>
      </c>
      <c r="K148" s="1">
        <v>143</v>
      </c>
      <c r="L148" s="1">
        <f t="shared" si="18"/>
        <v>-0.36465808863711391</v>
      </c>
      <c r="M148" s="122">
        <f t="shared" si="20"/>
        <v>-0.71249999999999769</v>
      </c>
      <c r="N148" s="1">
        <f t="shared" si="19"/>
        <v>0.63534191136288587</v>
      </c>
    </row>
    <row r="149" spans="1:14" x14ac:dyDescent="0.2">
      <c r="A149" s="123">
        <v>144</v>
      </c>
      <c r="B149" s="118">
        <f t="shared" si="21"/>
        <v>-1.8415999999999997</v>
      </c>
      <c r="C149" s="123">
        <f t="shared" si="16"/>
        <v>2.6739249264875043E-8</v>
      </c>
      <c r="D149" s="117">
        <f t="shared" si="22"/>
        <v>-2.0000000000000001E-4</v>
      </c>
      <c r="E149" s="124">
        <f t="shared" si="17"/>
        <v>0.99999997326075052</v>
      </c>
      <c r="F149" s="49">
        <f t="shared" si="23"/>
        <v>0</v>
      </c>
      <c r="K149" s="1">
        <v>144</v>
      </c>
      <c r="L149" s="1">
        <f t="shared" si="18"/>
        <v>-0.35452482591605639</v>
      </c>
      <c r="M149" s="122">
        <f t="shared" si="20"/>
        <v>-0.69999999999999774</v>
      </c>
      <c r="N149" s="1">
        <f t="shared" si="19"/>
        <v>0.64547517408394339</v>
      </c>
    </row>
    <row r="150" spans="1:14" x14ac:dyDescent="0.2">
      <c r="A150" s="123">
        <v>145</v>
      </c>
      <c r="B150" s="118">
        <f t="shared" si="21"/>
        <v>-1.8415999999999997</v>
      </c>
      <c r="C150" s="123">
        <f t="shared" si="16"/>
        <v>2.6739249264875043E-8</v>
      </c>
      <c r="D150" s="117">
        <f t="shared" si="22"/>
        <v>-2.0000000000000001E-4</v>
      </c>
      <c r="E150" s="124">
        <f t="shared" si="17"/>
        <v>0.99999997326075052</v>
      </c>
      <c r="F150" s="49">
        <f t="shared" si="23"/>
        <v>0</v>
      </c>
      <c r="K150" s="1">
        <v>145</v>
      </c>
      <c r="L150" s="1">
        <f t="shared" si="18"/>
        <v>-0.34443704636897143</v>
      </c>
      <c r="M150" s="122">
        <f t="shared" si="20"/>
        <v>-0.68749999999999778</v>
      </c>
      <c r="N150" s="1">
        <f t="shared" si="19"/>
        <v>0.65556295363102834</v>
      </c>
    </row>
    <row r="151" spans="1:14" x14ac:dyDescent="0.2">
      <c r="A151" s="123">
        <v>146</v>
      </c>
      <c r="B151" s="118">
        <f t="shared" si="21"/>
        <v>-1.8415999999999997</v>
      </c>
      <c r="C151" s="123">
        <f t="shared" si="16"/>
        <v>2.6739249264875043E-8</v>
      </c>
      <c r="D151" s="117">
        <f t="shared" si="22"/>
        <v>-2.0000000000000001E-4</v>
      </c>
      <c r="E151" s="124">
        <f t="shared" si="17"/>
        <v>0.99999997326075052</v>
      </c>
      <c r="F151" s="49">
        <f t="shared" si="23"/>
        <v>0</v>
      </c>
      <c r="K151" s="1">
        <v>146</v>
      </c>
      <c r="L151" s="1">
        <f t="shared" si="18"/>
        <v>-0.33439925396411185</v>
      </c>
      <c r="M151" s="122">
        <f t="shared" si="20"/>
        <v>-0.67499999999999782</v>
      </c>
      <c r="N151" s="1">
        <f t="shared" si="19"/>
        <v>0.66560074603588792</v>
      </c>
    </row>
    <row r="152" spans="1:14" x14ac:dyDescent="0.2">
      <c r="A152" s="123">
        <v>147</v>
      </c>
      <c r="B152" s="118">
        <f t="shared" si="21"/>
        <v>-1.8415999999999997</v>
      </c>
      <c r="C152" s="123">
        <f t="shared" si="16"/>
        <v>2.6739249264875043E-8</v>
      </c>
      <c r="D152" s="117">
        <f t="shared" si="22"/>
        <v>-2.0000000000000001E-4</v>
      </c>
      <c r="E152" s="124">
        <f t="shared" si="17"/>
        <v>0.99999997326075052</v>
      </c>
      <c r="F152" s="49">
        <f t="shared" si="23"/>
        <v>0</v>
      </c>
      <c r="K152" s="1">
        <v>147</v>
      </c>
      <c r="L152" s="1">
        <f t="shared" si="18"/>
        <v>-0.32441598433286556</v>
      </c>
      <c r="M152" s="122">
        <f t="shared" si="20"/>
        <v>-0.66249999999999787</v>
      </c>
      <c r="N152" s="1">
        <f t="shared" si="19"/>
        <v>0.67558401566713422</v>
      </c>
    </row>
    <row r="153" spans="1:14" x14ac:dyDescent="0.2">
      <c r="A153" s="123">
        <v>148</v>
      </c>
      <c r="B153" s="118">
        <f t="shared" si="21"/>
        <v>-1.8415999999999997</v>
      </c>
      <c r="C153" s="123">
        <f t="shared" si="16"/>
        <v>2.6739249264875043E-8</v>
      </c>
      <c r="D153" s="117">
        <f t="shared" si="22"/>
        <v>-2.0000000000000001E-4</v>
      </c>
      <c r="E153" s="124">
        <f t="shared" si="17"/>
        <v>0.99999997326075052</v>
      </c>
      <c r="F153" s="49">
        <f t="shared" si="23"/>
        <v>0</v>
      </c>
      <c r="K153" s="1">
        <v>148</v>
      </c>
      <c r="L153" s="1">
        <f t="shared" si="18"/>
        <v>-0.31449180422072887</v>
      </c>
      <c r="M153" s="122">
        <f t="shared" si="20"/>
        <v>-0.64999999999999791</v>
      </c>
      <c r="N153" s="1">
        <f t="shared" si="19"/>
        <v>0.68550819577927091</v>
      </c>
    </row>
    <row r="154" spans="1:14" x14ac:dyDescent="0.2">
      <c r="A154" s="123">
        <v>149</v>
      </c>
      <c r="B154" s="118">
        <f t="shared" si="21"/>
        <v>-1.8415999999999997</v>
      </c>
      <c r="C154" s="123">
        <f t="shared" si="16"/>
        <v>2.6739249264875043E-8</v>
      </c>
      <c r="D154" s="117">
        <f t="shared" si="22"/>
        <v>-2.0000000000000001E-4</v>
      </c>
      <c r="E154" s="124">
        <f t="shared" si="17"/>
        <v>0.99999997326075052</v>
      </c>
      <c r="F154" s="49">
        <f t="shared" si="23"/>
        <v>0</v>
      </c>
      <c r="K154" s="1">
        <v>149</v>
      </c>
      <c r="L154" s="1">
        <f t="shared" si="18"/>
        <v>-0.30463131090343365</v>
      </c>
      <c r="M154" s="122">
        <f t="shared" si="20"/>
        <v>-0.63749999999999796</v>
      </c>
      <c r="N154" s="1">
        <f t="shared" si="19"/>
        <v>0.69536868909656613</v>
      </c>
    </row>
    <row r="155" spans="1:14" x14ac:dyDescent="0.2">
      <c r="A155" s="123">
        <v>150</v>
      </c>
      <c r="B155" s="118">
        <f t="shared" si="21"/>
        <v>-1.8415999999999997</v>
      </c>
      <c r="C155" s="123">
        <f t="shared" si="16"/>
        <v>2.6739249264875043E-8</v>
      </c>
      <c r="D155" s="117">
        <f t="shared" si="22"/>
        <v>-2.0000000000000001E-4</v>
      </c>
      <c r="E155" s="124">
        <f t="shared" si="17"/>
        <v>0.99999997326075052</v>
      </c>
      <c r="F155" s="49">
        <f t="shared" si="23"/>
        <v>0</v>
      </c>
      <c r="K155" s="1">
        <v>150</v>
      </c>
      <c r="L155" s="1">
        <f t="shared" si="18"/>
        <v>-0.29483913156703101</v>
      </c>
      <c r="M155" s="122">
        <f t="shared" si="20"/>
        <v>-0.624999999999998</v>
      </c>
      <c r="N155" s="1">
        <f t="shared" si="19"/>
        <v>0.70516086843296877</v>
      </c>
    </row>
    <row r="156" spans="1:14" x14ac:dyDescent="0.2">
      <c r="A156" s="123">
        <v>151</v>
      </c>
      <c r="B156" s="118">
        <f t="shared" si="21"/>
        <v>-1.8415999999999997</v>
      </c>
      <c r="C156" s="123">
        <f t="shared" si="16"/>
        <v>2.6739249264875043E-8</v>
      </c>
      <c r="D156" s="117">
        <f t="shared" si="22"/>
        <v>-2.0000000000000001E-4</v>
      </c>
      <c r="E156" s="124">
        <f t="shared" si="17"/>
        <v>0.99999997326075052</v>
      </c>
      <c r="F156" s="49">
        <f t="shared" si="23"/>
        <v>0</v>
      </c>
      <c r="K156" s="1">
        <v>151</v>
      </c>
      <c r="L156" s="1">
        <f t="shared" si="18"/>
        <v>-0.28511992265070962</v>
      </c>
      <c r="M156" s="122">
        <f t="shared" si="20"/>
        <v>-0.61249999999999805</v>
      </c>
      <c r="N156" s="1">
        <f t="shared" si="19"/>
        <v>0.71488007734929016</v>
      </c>
    </row>
    <row r="157" spans="1:14" x14ac:dyDescent="0.2">
      <c r="A157" s="123">
        <v>152</v>
      </c>
      <c r="B157" s="118">
        <f t="shared" si="21"/>
        <v>-1.8415999999999997</v>
      </c>
      <c r="C157" s="123">
        <f t="shared" si="16"/>
        <v>2.6739249264875043E-8</v>
      </c>
      <c r="D157" s="117">
        <f t="shared" si="22"/>
        <v>-2.0000000000000001E-4</v>
      </c>
      <c r="E157" s="124">
        <f t="shared" si="17"/>
        <v>0.99999997326075052</v>
      </c>
      <c r="F157" s="49">
        <f t="shared" si="23"/>
        <v>0</v>
      </c>
      <c r="K157" s="1">
        <v>152</v>
      </c>
      <c r="L157" s="1">
        <f t="shared" si="18"/>
        <v>-0.27547836915107005</v>
      </c>
      <c r="M157" s="122">
        <f t="shared" si="20"/>
        <v>-0.59999999999999809</v>
      </c>
      <c r="N157" s="1">
        <f t="shared" si="19"/>
        <v>0.72452163084892973</v>
      </c>
    </row>
    <row r="158" spans="1:14" x14ac:dyDescent="0.2">
      <c r="A158" s="123">
        <v>153</v>
      </c>
      <c r="B158" s="118">
        <f t="shared" si="21"/>
        <v>-1.8415999999999997</v>
      </c>
      <c r="C158" s="123">
        <f t="shared" si="16"/>
        <v>2.6739249264875043E-8</v>
      </c>
      <c r="D158" s="117">
        <f t="shared" si="22"/>
        <v>-2.0000000000000001E-4</v>
      </c>
      <c r="E158" s="124">
        <f t="shared" si="17"/>
        <v>0.99999997326075052</v>
      </c>
      <c r="F158" s="49">
        <f t="shared" si="23"/>
        <v>0</v>
      </c>
      <c r="K158" s="1">
        <v>153</v>
      </c>
      <c r="L158" s="1">
        <f t="shared" si="18"/>
        <v>-0.26591918388656777</v>
      </c>
      <c r="M158" s="122">
        <f t="shared" si="20"/>
        <v>-0.58749999999999813</v>
      </c>
      <c r="N158" s="1">
        <f t="shared" si="19"/>
        <v>0.73408081611343201</v>
      </c>
    </row>
    <row r="159" spans="1:14" x14ac:dyDescent="0.2">
      <c r="A159" s="123">
        <v>154</v>
      </c>
      <c r="B159" s="118">
        <f t="shared" si="21"/>
        <v>-1.8415999999999997</v>
      </c>
      <c r="C159" s="123">
        <f t="shared" si="16"/>
        <v>2.6739249264875043E-8</v>
      </c>
      <c r="D159" s="117">
        <f t="shared" si="22"/>
        <v>-2.0000000000000001E-4</v>
      </c>
      <c r="E159" s="124">
        <f t="shared" si="17"/>
        <v>0.99999997326075052</v>
      </c>
      <c r="F159" s="49">
        <f t="shared" si="23"/>
        <v>0</v>
      </c>
      <c r="K159" s="1">
        <v>154</v>
      </c>
      <c r="L159" s="1">
        <f t="shared" si="18"/>
        <v>-0.25644710672076887</v>
      </c>
      <c r="M159" s="122">
        <f t="shared" si="20"/>
        <v>-0.57499999999999818</v>
      </c>
      <c r="N159" s="1">
        <f t="shared" si="19"/>
        <v>0.74355289327923091</v>
      </c>
    </row>
    <row r="160" spans="1:14" x14ac:dyDescent="0.2">
      <c r="A160" s="123">
        <v>155</v>
      </c>
      <c r="B160" s="118">
        <f t="shared" si="21"/>
        <v>-1.8415999999999997</v>
      </c>
      <c r="C160" s="123">
        <f t="shared" si="16"/>
        <v>2.6739249264875043E-8</v>
      </c>
      <c r="D160" s="117">
        <f t="shared" si="22"/>
        <v>-2.0000000000000001E-4</v>
      </c>
      <c r="E160" s="124">
        <f t="shared" si="17"/>
        <v>0.99999997326075052</v>
      </c>
      <c r="F160" s="49">
        <f t="shared" si="23"/>
        <v>0</v>
      </c>
      <c r="K160" s="1">
        <v>155</v>
      </c>
      <c r="L160" s="1">
        <f t="shared" si="18"/>
        <v>-0.2470669037430524</v>
      </c>
      <c r="M160" s="122">
        <f t="shared" si="20"/>
        <v>-0.56249999999999822</v>
      </c>
      <c r="N160" s="1">
        <f t="shared" si="19"/>
        <v>0.75293309625694738</v>
      </c>
    </row>
    <row r="161" spans="1:14" x14ac:dyDescent="0.2">
      <c r="A161" s="123">
        <v>156</v>
      </c>
      <c r="B161" s="118">
        <f t="shared" si="21"/>
        <v>-1.8415999999999997</v>
      </c>
      <c r="C161" s="123">
        <f t="shared" si="16"/>
        <v>2.6739249264875043E-8</v>
      </c>
      <c r="D161" s="117">
        <f t="shared" si="22"/>
        <v>-2.0000000000000001E-4</v>
      </c>
      <c r="E161" s="124">
        <f t="shared" si="17"/>
        <v>0.99999997326075052</v>
      </c>
      <c r="F161" s="49">
        <f t="shared" si="23"/>
        <v>0</v>
      </c>
      <c r="K161" s="1">
        <v>156</v>
      </c>
      <c r="L161" s="1">
        <f t="shared" si="18"/>
        <v>-0.23778336640533004</v>
      </c>
      <c r="M161" s="122">
        <f t="shared" si="20"/>
        <v>-0.54999999999999827</v>
      </c>
      <c r="N161" s="1">
        <f t="shared" si="19"/>
        <v>0.76221663359466973</v>
      </c>
    </row>
    <row r="162" spans="1:14" x14ac:dyDescent="0.2">
      <c r="A162" s="123">
        <v>157</v>
      </c>
      <c r="B162" s="118">
        <f t="shared" si="21"/>
        <v>-1.8415999999999997</v>
      </c>
      <c r="C162" s="123">
        <f t="shared" si="16"/>
        <v>2.6739249264875043E-8</v>
      </c>
      <c r="D162" s="117">
        <f t="shared" si="22"/>
        <v>-2.0000000000000001E-4</v>
      </c>
      <c r="E162" s="124">
        <f t="shared" si="17"/>
        <v>0.99999997326075052</v>
      </c>
      <c r="F162" s="49">
        <f t="shared" si="23"/>
        <v>0</v>
      </c>
      <c r="K162" s="1">
        <v>157</v>
      </c>
      <c r="L162" s="1">
        <f t="shared" si="18"/>
        <v>-0.22860131061333233</v>
      </c>
      <c r="M162" s="122">
        <f t="shared" si="20"/>
        <v>-0.53749999999999831</v>
      </c>
      <c r="N162" s="1">
        <f t="shared" si="19"/>
        <v>0.77139868938666745</v>
      </c>
    </row>
    <row r="163" spans="1:14" x14ac:dyDescent="0.2">
      <c r="A163" s="123">
        <v>158</v>
      </c>
      <c r="B163" s="118">
        <f t="shared" si="21"/>
        <v>-1.8415999999999997</v>
      </c>
      <c r="C163" s="123">
        <f t="shared" si="16"/>
        <v>2.6739249264875043E-8</v>
      </c>
      <c r="D163" s="117">
        <f t="shared" si="22"/>
        <v>-2.0000000000000001E-4</v>
      </c>
      <c r="E163" s="124">
        <f t="shared" si="17"/>
        <v>0.99999997326075052</v>
      </c>
      <c r="F163" s="49">
        <f t="shared" si="23"/>
        <v>0</v>
      </c>
      <c r="K163" s="1">
        <v>158</v>
      </c>
      <c r="L163" s="1">
        <f t="shared" si="18"/>
        <v>-0.21952557577094778</v>
      </c>
      <c r="M163" s="122">
        <f t="shared" si="20"/>
        <v>-0.52499999999999836</v>
      </c>
      <c r="N163" s="1">
        <f t="shared" si="19"/>
        <v>0.780474424229052</v>
      </c>
    </row>
    <row r="164" spans="1:14" x14ac:dyDescent="0.2">
      <c r="A164" s="123">
        <v>159</v>
      </c>
      <c r="B164" s="118">
        <f t="shared" si="21"/>
        <v>-1.8415999999999997</v>
      </c>
      <c r="C164" s="123">
        <f t="shared" si="16"/>
        <v>2.6739249264875043E-8</v>
      </c>
      <c r="D164" s="117">
        <f t="shared" si="22"/>
        <v>-2.0000000000000001E-4</v>
      </c>
      <c r="E164" s="124">
        <f t="shared" si="17"/>
        <v>0.99999997326075052</v>
      </c>
      <c r="F164" s="49">
        <f t="shared" si="23"/>
        <v>0</v>
      </c>
      <c r="K164" s="1">
        <v>159</v>
      </c>
      <c r="L164" s="1">
        <f t="shared" si="18"/>
        <v>-0.21056102377608554</v>
      </c>
      <c r="M164" s="122">
        <f t="shared" si="20"/>
        <v>-0.5124999999999984</v>
      </c>
      <c r="N164" s="1">
        <f t="shared" si="19"/>
        <v>0.78943897622391423</v>
      </c>
    </row>
    <row r="165" spans="1:14" x14ac:dyDescent="0.2">
      <c r="A165" s="123">
        <v>160</v>
      </c>
      <c r="B165" s="118">
        <f t="shared" si="21"/>
        <v>-1.8415999999999997</v>
      </c>
      <c r="C165" s="123">
        <f t="shared" si="16"/>
        <v>2.6739249264875043E-8</v>
      </c>
      <c r="D165" s="117">
        <f t="shared" si="22"/>
        <v>-2.0000000000000001E-4</v>
      </c>
      <c r="E165" s="124">
        <f t="shared" si="17"/>
        <v>0.99999997326075052</v>
      </c>
      <c r="F165" s="49">
        <f t="shared" si="23"/>
        <v>0</v>
      </c>
      <c r="K165" s="1">
        <v>160</v>
      </c>
      <c r="L165" s="1">
        <f t="shared" si="18"/>
        <v>-0.20171253796645694</v>
      </c>
      <c r="M165" s="122">
        <f t="shared" si="20"/>
        <v>-0.49999999999999839</v>
      </c>
      <c r="N165" s="1">
        <f t="shared" si="19"/>
        <v>0.79828746203354284</v>
      </c>
    </row>
    <row r="166" spans="1:14" x14ac:dyDescent="0.2">
      <c r="A166" s="123">
        <v>161</v>
      </c>
      <c r="B166" s="118">
        <f t="shared" si="21"/>
        <v>-1.8415999999999997</v>
      </c>
      <c r="C166" s="123">
        <f t="shared" si="16"/>
        <v>2.6739249264875043E-8</v>
      </c>
      <c r="D166" s="117">
        <f t="shared" si="22"/>
        <v>-2.0000000000000001E-4</v>
      </c>
      <c r="E166" s="124">
        <f t="shared" si="17"/>
        <v>0.99999997326075052</v>
      </c>
      <c r="F166" s="49">
        <f t="shared" si="23"/>
        <v>0</v>
      </c>
      <c r="K166" s="1">
        <v>161</v>
      </c>
      <c r="L166" s="1">
        <f t="shared" si="18"/>
        <v>-0.19298502201364853</v>
      </c>
      <c r="M166" s="122">
        <f t="shared" si="20"/>
        <v>-0.48749999999999838</v>
      </c>
      <c r="N166" s="1">
        <f t="shared" si="19"/>
        <v>0.80701497798635125</v>
      </c>
    </row>
    <row r="167" spans="1:14" x14ac:dyDescent="0.2">
      <c r="A167" s="123">
        <v>162</v>
      </c>
      <c r="B167" s="118">
        <f t="shared" si="21"/>
        <v>-1.8415999999999997</v>
      </c>
      <c r="C167" s="123">
        <f t="shared" si="16"/>
        <v>2.6739249264875043E-8</v>
      </c>
      <c r="D167" s="117">
        <f t="shared" si="22"/>
        <v>-2.0000000000000001E-4</v>
      </c>
      <c r="E167" s="124">
        <f t="shared" si="17"/>
        <v>0.99999997326075052</v>
      </c>
      <c r="F167" s="49">
        <f t="shared" si="23"/>
        <v>0</v>
      </c>
      <c r="K167" s="1">
        <v>162</v>
      </c>
      <c r="L167" s="1">
        <f t="shared" si="18"/>
        <v>-0.1843833987638086</v>
      </c>
      <c r="M167" s="122">
        <f t="shared" si="20"/>
        <v>-0.47499999999999837</v>
      </c>
      <c r="N167" s="1">
        <f t="shared" si="19"/>
        <v>0.81561660123619117</v>
      </c>
    </row>
    <row r="168" spans="1:14" x14ac:dyDescent="0.2">
      <c r="A168" s="123">
        <v>163</v>
      </c>
      <c r="B168" s="118">
        <f t="shared" si="21"/>
        <v>-1.8415999999999997</v>
      </c>
      <c r="C168" s="123">
        <f t="shared" si="16"/>
        <v>2.6739249264875043E-8</v>
      </c>
      <c r="D168" s="117">
        <f t="shared" si="22"/>
        <v>-2.0000000000000001E-4</v>
      </c>
      <c r="E168" s="124">
        <f t="shared" si="17"/>
        <v>0.99999997326075052</v>
      </c>
      <c r="F168" s="49">
        <f t="shared" si="23"/>
        <v>0</v>
      </c>
      <c r="K168" s="1">
        <v>163</v>
      </c>
      <c r="L168" s="1">
        <f t="shared" si="18"/>
        <v>-0.17591260902320638</v>
      </c>
      <c r="M168" s="122">
        <f t="shared" si="20"/>
        <v>-0.46249999999999836</v>
      </c>
      <c r="N168" s="1">
        <f t="shared" si="19"/>
        <v>0.8240873909767934</v>
      </c>
    </row>
    <row r="169" spans="1:14" x14ac:dyDescent="0.2">
      <c r="A169" s="123">
        <v>164</v>
      </c>
      <c r="B169" s="118">
        <f t="shared" si="21"/>
        <v>-1.8415999999999997</v>
      </c>
      <c r="C169" s="123">
        <f t="shared" si="16"/>
        <v>2.6739249264875043E-8</v>
      </c>
      <c r="D169" s="117">
        <f t="shared" si="22"/>
        <v>-2.0000000000000001E-4</v>
      </c>
      <c r="E169" s="124">
        <f t="shared" si="17"/>
        <v>0.99999997326075052</v>
      </c>
      <c r="F169" s="49">
        <f t="shared" si="23"/>
        <v>0</v>
      </c>
      <c r="K169" s="1">
        <v>164</v>
      </c>
      <c r="L169" s="1">
        <f t="shared" si="18"/>
        <v>-0.16757761028689688</v>
      </c>
      <c r="M169" s="122">
        <f t="shared" si="20"/>
        <v>-0.44999999999999835</v>
      </c>
      <c r="N169" s="1">
        <f t="shared" si="19"/>
        <v>0.83242238971310289</v>
      </c>
    </row>
    <row r="170" spans="1:14" x14ac:dyDescent="0.2">
      <c r="A170" s="123">
        <v>165</v>
      </c>
      <c r="B170" s="118">
        <f t="shared" si="21"/>
        <v>-1.8415999999999997</v>
      </c>
      <c r="C170" s="123">
        <f t="shared" si="16"/>
        <v>2.6739249264875043E-8</v>
      </c>
      <c r="D170" s="117">
        <f t="shared" si="22"/>
        <v>-2.0000000000000001E-4</v>
      </c>
      <c r="E170" s="124">
        <f t="shared" si="17"/>
        <v>0.99999997326075052</v>
      </c>
      <c r="F170" s="49">
        <f t="shared" si="23"/>
        <v>0</v>
      </c>
      <c r="K170" s="1">
        <v>165</v>
      </c>
      <c r="L170" s="1">
        <f t="shared" si="18"/>
        <v>-0.15938337540865322</v>
      </c>
      <c r="M170" s="122">
        <f t="shared" si="20"/>
        <v>-0.43749999999999833</v>
      </c>
      <c r="N170" s="1">
        <f t="shared" si="19"/>
        <v>0.84061662459134656</v>
      </c>
    </row>
    <row r="171" spans="1:14" x14ac:dyDescent="0.2">
      <c r="A171" s="123">
        <v>166</v>
      </c>
      <c r="B171" s="118">
        <f t="shared" si="21"/>
        <v>-1.8415999999999997</v>
      </c>
      <c r="C171" s="123">
        <f t="shared" si="16"/>
        <v>2.6739249264875043E-8</v>
      </c>
      <c r="D171" s="117">
        <f t="shared" si="22"/>
        <v>-2.0000000000000001E-4</v>
      </c>
      <c r="E171" s="124">
        <f t="shared" si="17"/>
        <v>0.99999997326075052</v>
      </c>
      <c r="F171" s="49">
        <f t="shared" si="23"/>
        <v>0</v>
      </c>
      <c r="K171" s="1">
        <v>166</v>
      </c>
      <c r="L171" s="1">
        <f t="shared" si="18"/>
        <v>-0.15133489121029065</v>
      </c>
      <c r="M171" s="122">
        <f t="shared" si="20"/>
        <v>-0.42499999999999832</v>
      </c>
      <c r="N171" s="1">
        <f t="shared" si="19"/>
        <v>0.84866510878970913</v>
      </c>
    </row>
    <row r="172" spans="1:14" x14ac:dyDescent="0.2">
      <c r="A172" s="123">
        <v>167</v>
      </c>
      <c r="B172" s="118">
        <f t="shared" si="21"/>
        <v>-1.8415999999999997</v>
      </c>
      <c r="C172" s="123">
        <f t="shared" si="16"/>
        <v>2.6739249264875043E-8</v>
      </c>
      <c r="D172" s="117">
        <f t="shared" si="22"/>
        <v>-2.0000000000000001E-4</v>
      </c>
      <c r="E172" s="124">
        <f t="shared" si="17"/>
        <v>0.99999997326075052</v>
      </c>
      <c r="F172" s="49">
        <f t="shared" si="23"/>
        <v>0</v>
      </c>
      <c r="K172" s="1">
        <v>167</v>
      </c>
      <c r="L172" s="1">
        <f t="shared" si="18"/>
        <v>-0.14343715702844728</v>
      </c>
      <c r="M172" s="122">
        <f t="shared" si="20"/>
        <v>-0.41249999999999831</v>
      </c>
      <c r="N172" s="1">
        <f t="shared" si="19"/>
        <v>0.8565628429715525</v>
      </c>
    </row>
    <row r="173" spans="1:14" x14ac:dyDescent="0.2">
      <c r="A173" s="123">
        <v>168</v>
      </c>
      <c r="B173" s="118">
        <f t="shared" si="21"/>
        <v>-1.8415999999999997</v>
      </c>
      <c r="C173" s="123">
        <f t="shared" si="16"/>
        <v>2.6739249264875043E-8</v>
      </c>
      <c r="D173" s="117">
        <f t="shared" si="22"/>
        <v>-2.0000000000000001E-4</v>
      </c>
      <c r="E173" s="124">
        <f t="shared" si="17"/>
        <v>0.99999997326075052</v>
      </c>
      <c r="F173" s="49">
        <f t="shared" si="23"/>
        <v>0</v>
      </c>
      <c r="K173" s="1">
        <v>168</v>
      </c>
      <c r="L173" s="1">
        <f t="shared" si="18"/>
        <v>-0.13569518319682305</v>
      </c>
      <c r="M173" s="122">
        <f t="shared" si="20"/>
        <v>-0.3999999999999983</v>
      </c>
      <c r="N173" s="1">
        <f t="shared" si="19"/>
        <v>0.86430481680317672</v>
      </c>
    </row>
    <row r="174" spans="1:14" x14ac:dyDescent="0.2">
      <c r="A174" s="123">
        <v>169</v>
      </c>
      <c r="B174" s="118">
        <f t="shared" si="21"/>
        <v>-1.8415999999999997</v>
      </c>
      <c r="C174" s="123">
        <f t="shared" si="16"/>
        <v>2.6739249264875043E-8</v>
      </c>
      <c r="D174" s="117">
        <f t="shared" si="22"/>
        <v>-2.0000000000000001E-4</v>
      </c>
      <c r="E174" s="124">
        <f t="shared" si="17"/>
        <v>0.99999997326075052</v>
      </c>
      <c r="F174" s="49">
        <f t="shared" si="23"/>
        <v>0</v>
      </c>
      <c r="K174" s="1">
        <v>169</v>
      </c>
      <c r="L174" s="1">
        <f t="shared" si="18"/>
        <v>-0.12811398946184427</v>
      </c>
      <c r="M174" s="122">
        <f t="shared" si="20"/>
        <v>-0.38749999999999829</v>
      </c>
      <c r="N174" s="1">
        <f t="shared" si="19"/>
        <v>0.87188601053815551</v>
      </c>
    </row>
    <row r="175" spans="1:14" x14ac:dyDescent="0.2">
      <c r="A175" s="123">
        <v>170</v>
      </c>
      <c r="B175" s="118">
        <f t="shared" si="21"/>
        <v>-1.8415999999999997</v>
      </c>
      <c r="C175" s="123">
        <f t="shared" si="16"/>
        <v>2.6739249264875043E-8</v>
      </c>
      <c r="D175" s="117">
        <f t="shared" si="22"/>
        <v>-2.0000000000000001E-4</v>
      </c>
      <c r="E175" s="124">
        <f t="shared" si="17"/>
        <v>0.99999997326075052</v>
      </c>
      <c r="F175" s="49">
        <f t="shared" si="23"/>
        <v>0</v>
      </c>
      <c r="K175" s="1">
        <v>170</v>
      </c>
      <c r="L175" s="1">
        <f t="shared" si="18"/>
        <v>-0.12069860332964333</v>
      </c>
      <c r="M175" s="122">
        <f t="shared" si="20"/>
        <v>-0.37499999999999828</v>
      </c>
      <c r="N175" s="1">
        <f t="shared" si="19"/>
        <v>0.87930139667035645</v>
      </c>
    </row>
    <row r="176" spans="1:14" x14ac:dyDescent="0.2">
      <c r="A176" s="123">
        <v>171</v>
      </c>
      <c r="B176" s="118">
        <f t="shared" si="21"/>
        <v>-1.8415999999999997</v>
      </c>
      <c r="C176" s="123">
        <f t="shared" si="16"/>
        <v>2.6739249264875043E-8</v>
      </c>
      <c r="D176" s="117">
        <f t="shared" si="22"/>
        <v>-2.0000000000000001E-4</v>
      </c>
      <c r="E176" s="124">
        <f t="shared" si="17"/>
        <v>0.99999997326075052</v>
      </c>
      <c r="F176" s="49">
        <f t="shared" si="23"/>
        <v>0</v>
      </c>
      <c r="K176" s="1">
        <v>171</v>
      </c>
      <c r="L176" s="1">
        <f t="shared" si="18"/>
        <v>-0.11345405834218913</v>
      </c>
      <c r="M176" s="122">
        <f t="shared" si="20"/>
        <v>-0.36249999999999827</v>
      </c>
      <c r="N176" s="1">
        <f t="shared" si="19"/>
        <v>0.88654594165781064</v>
      </c>
    </row>
    <row r="177" spans="1:14" x14ac:dyDescent="0.2">
      <c r="A177" s="123">
        <v>172</v>
      </c>
      <c r="B177" s="118">
        <f t="shared" si="21"/>
        <v>-1.8415999999999997</v>
      </c>
      <c r="C177" s="123">
        <f t="shared" si="16"/>
        <v>2.6739249264875043E-8</v>
      </c>
      <c r="D177" s="117">
        <f t="shared" si="22"/>
        <v>-2.0000000000000001E-4</v>
      </c>
      <c r="E177" s="124">
        <f t="shared" si="17"/>
        <v>0.99999997326075052</v>
      </c>
      <c r="F177" s="49">
        <f t="shared" si="23"/>
        <v>0</v>
      </c>
      <c r="K177" s="1">
        <v>172</v>
      </c>
      <c r="L177" s="1">
        <f t="shared" si="18"/>
        <v>-0.10638539228034372</v>
      </c>
      <c r="M177" s="122">
        <f t="shared" si="20"/>
        <v>-0.34999999999999826</v>
      </c>
      <c r="N177" s="1">
        <f t="shared" si="19"/>
        <v>0.89361460771965606</v>
      </c>
    </row>
    <row r="178" spans="1:14" x14ac:dyDescent="0.2">
      <c r="A178" s="123">
        <v>173</v>
      </c>
      <c r="B178" s="118">
        <f t="shared" si="21"/>
        <v>-1.8415999999999997</v>
      </c>
      <c r="C178" s="123">
        <f t="shared" si="16"/>
        <v>2.6739249264875043E-8</v>
      </c>
      <c r="D178" s="117">
        <f t="shared" si="22"/>
        <v>-2.0000000000000001E-4</v>
      </c>
      <c r="E178" s="124">
        <f t="shared" si="17"/>
        <v>0.99999997326075052</v>
      </c>
      <c r="F178" s="49">
        <f t="shared" si="23"/>
        <v>0</v>
      </c>
      <c r="K178" s="1">
        <v>173</v>
      </c>
      <c r="L178" s="1">
        <f t="shared" si="18"/>
        <v>-9.9497645291570458E-2</v>
      </c>
      <c r="M178" s="122">
        <f t="shared" si="20"/>
        <v>-0.33749999999999825</v>
      </c>
      <c r="N178" s="1">
        <f t="shared" si="19"/>
        <v>0.90050235470842932</v>
      </c>
    </row>
    <row r="179" spans="1:14" x14ac:dyDescent="0.2">
      <c r="A179" s="123">
        <v>174</v>
      </c>
      <c r="B179" s="118">
        <f t="shared" si="21"/>
        <v>-1.8415999999999997</v>
      </c>
      <c r="C179" s="123">
        <f t="shared" si="16"/>
        <v>2.6739249264875043E-8</v>
      </c>
      <c r="D179" s="117">
        <f t="shared" si="22"/>
        <v>-2.0000000000000001E-4</v>
      </c>
      <c r="E179" s="124">
        <f t="shared" si="17"/>
        <v>0.99999997326075052</v>
      </c>
      <c r="F179" s="49">
        <f t="shared" si="23"/>
        <v>0</v>
      </c>
      <c r="K179" s="1">
        <v>174</v>
      </c>
      <c r="L179" s="1">
        <f t="shared" si="18"/>
        <v>-9.2795857939924287E-2</v>
      </c>
      <c r="M179" s="122">
        <f t="shared" si="20"/>
        <v>-0.32499999999999823</v>
      </c>
      <c r="N179" s="1">
        <f t="shared" si="19"/>
        <v>0.90720414206007549</v>
      </c>
    </row>
    <row r="180" spans="1:14" x14ac:dyDescent="0.2">
      <c r="A180" s="123">
        <v>175</v>
      </c>
      <c r="B180" s="118">
        <f t="shared" si="21"/>
        <v>-1.8415999999999997</v>
      </c>
      <c r="C180" s="123">
        <f t="shared" si="16"/>
        <v>2.6739249264875043E-8</v>
      </c>
      <c r="D180" s="117">
        <f t="shared" si="22"/>
        <v>-2.0000000000000001E-4</v>
      </c>
      <c r="E180" s="124">
        <f t="shared" si="17"/>
        <v>0.99999997326075052</v>
      </c>
      <c r="F180" s="49">
        <f t="shared" si="23"/>
        <v>0</v>
      </c>
      <c r="K180" s="1">
        <v>175</v>
      </c>
      <c r="L180" s="1">
        <f t="shared" si="18"/>
        <v>-8.6285069175924711E-2</v>
      </c>
      <c r="M180" s="122">
        <f t="shared" si="20"/>
        <v>-0.31249999999999822</v>
      </c>
      <c r="N180" s="1">
        <f t="shared" si="19"/>
        <v>0.91371493082407507</v>
      </c>
    </row>
    <row r="181" spans="1:14" x14ac:dyDescent="0.2">
      <c r="A181" s="123">
        <v>176</v>
      </c>
      <c r="B181" s="118">
        <f t="shared" si="21"/>
        <v>-1.8415999999999997</v>
      </c>
      <c r="C181" s="123">
        <f t="shared" si="16"/>
        <v>2.6739249264875043E-8</v>
      </c>
      <c r="D181" s="117">
        <f t="shared" si="22"/>
        <v>-2.0000000000000001E-4</v>
      </c>
      <c r="E181" s="124">
        <f t="shared" si="17"/>
        <v>0.99999997326075052</v>
      </c>
      <c r="F181" s="49">
        <f t="shared" si="23"/>
        <v>0</v>
      </c>
      <c r="K181" s="1">
        <v>176</v>
      </c>
      <c r="L181" s="1">
        <f t="shared" si="18"/>
        <v>-7.9970314223813177E-2</v>
      </c>
      <c r="M181" s="122">
        <f t="shared" si="20"/>
        <v>-0.29999999999999821</v>
      </c>
      <c r="N181" s="1">
        <f t="shared" si="19"/>
        <v>0.9200296857761866</v>
      </c>
    </row>
    <row r="182" spans="1:14" x14ac:dyDescent="0.2">
      <c r="A182" s="123">
        <v>177</v>
      </c>
      <c r="B182" s="118">
        <f t="shared" si="21"/>
        <v>-1.8415999999999997</v>
      </c>
      <c r="C182" s="123">
        <f t="shared" si="16"/>
        <v>2.6739249264875043E-8</v>
      </c>
      <c r="D182" s="117">
        <f t="shared" si="22"/>
        <v>-2.0000000000000001E-4</v>
      </c>
      <c r="E182" s="124">
        <f t="shared" si="17"/>
        <v>0.99999997326075052</v>
      </c>
      <c r="F182" s="49">
        <f t="shared" si="23"/>
        <v>0</v>
      </c>
      <c r="K182" s="1">
        <v>177</v>
      </c>
      <c r="L182" s="1">
        <f t="shared" si="18"/>
        <v>-7.3856622383655979E-2</v>
      </c>
      <c r="M182" s="122">
        <f t="shared" si="20"/>
        <v>-0.2874999999999982</v>
      </c>
      <c r="N182" s="1">
        <f t="shared" si="19"/>
        <v>0.9261433776163438</v>
      </c>
    </row>
    <row r="183" spans="1:14" x14ac:dyDescent="0.2">
      <c r="A183" s="123">
        <v>178</v>
      </c>
      <c r="B183" s="118">
        <f t="shared" si="21"/>
        <v>-1.8415999999999997</v>
      </c>
      <c r="C183" s="123">
        <f t="shared" si="16"/>
        <v>2.6739249264875043E-8</v>
      </c>
      <c r="D183" s="117">
        <f t="shared" si="22"/>
        <v>-2.0000000000000001E-4</v>
      </c>
      <c r="E183" s="124">
        <f t="shared" si="17"/>
        <v>0.99999997326075052</v>
      </c>
      <c r="F183" s="49">
        <f t="shared" si="23"/>
        <v>0</v>
      </c>
      <c r="K183" s="1">
        <v>178</v>
      </c>
      <c r="L183" s="1">
        <f t="shared" si="18"/>
        <v>-6.7949014745653069E-2</v>
      </c>
      <c r="M183" s="122">
        <f t="shared" si="20"/>
        <v>-0.27499999999999819</v>
      </c>
      <c r="N183" s="1">
        <f t="shared" si="19"/>
        <v>0.93205098525434671</v>
      </c>
    </row>
    <row r="184" spans="1:14" x14ac:dyDescent="0.2">
      <c r="A184" s="123">
        <v>179</v>
      </c>
      <c r="B184" s="118">
        <f t="shared" si="21"/>
        <v>-1.8415999999999997</v>
      </c>
      <c r="C184" s="123">
        <f t="shared" si="16"/>
        <v>2.6739249264875043E-8</v>
      </c>
      <c r="D184" s="117">
        <f t="shared" si="22"/>
        <v>-2.0000000000000001E-4</v>
      </c>
      <c r="E184" s="124">
        <f t="shared" si="17"/>
        <v>0.99999997326075052</v>
      </c>
      <c r="F184" s="49">
        <f t="shared" si="23"/>
        <v>0</v>
      </c>
      <c r="K184" s="1">
        <v>179</v>
      </c>
      <c r="L184" s="1">
        <f t="shared" si="18"/>
        <v>-6.2252501813966465E-2</v>
      </c>
      <c r="M184" s="122">
        <f t="shared" si="20"/>
        <v>-0.26249999999999818</v>
      </c>
      <c r="N184" s="1">
        <f t="shared" si="19"/>
        <v>0.93774749818603331</v>
      </c>
    </row>
    <row r="185" spans="1:14" x14ac:dyDescent="0.2">
      <c r="A185" s="123">
        <v>180</v>
      </c>
      <c r="B185" s="118">
        <f t="shared" si="21"/>
        <v>-1.8415999999999997</v>
      </c>
      <c r="C185" s="123">
        <f t="shared" si="16"/>
        <v>2.6739249264875043E-8</v>
      </c>
      <c r="D185" s="117">
        <f t="shared" si="22"/>
        <v>-2.0000000000000001E-4</v>
      </c>
      <c r="E185" s="124">
        <f t="shared" si="17"/>
        <v>0.99999997326075052</v>
      </c>
      <c r="F185" s="49">
        <f t="shared" si="23"/>
        <v>0</v>
      </c>
      <c r="K185" s="1">
        <v>180</v>
      </c>
      <c r="L185" s="1">
        <f t="shared" si="18"/>
        <v>-5.6772081037282818E-2</v>
      </c>
      <c r="M185" s="122">
        <f t="shared" si="20"/>
        <v>-0.24999999999999817</v>
      </c>
      <c r="N185" s="1">
        <f t="shared" si="19"/>
        <v>0.94322791896271696</v>
      </c>
    </row>
    <row r="186" spans="1:14" x14ac:dyDescent="0.2">
      <c r="A186" s="123">
        <v>181</v>
      </c>
      <c r="B186" s="118">
        <f t="shared" si="21"/>
        <v>-1.8415999999999997</v>
      </c>
      <c r="C186" s="123">
        <f t="shared" si="16"/>
        <v>2.6739249264875043E-8</v>
      </c>
      <c r="D186" s="117">
        <f t="shared" si="22"/>
        <v>-2.0000000000000001E-4</v>
      </c>
      <c r="E186" s="124">
        <f t="shared" si="17"/>
        <v>0.99999997326075052</v>
      </c>
      <c r="F186" s="49">
        <f t="shared" si="23"/>
        <v>0</v>
      </c>
      <c r="K186" s="1">
        <v>181</v>
      </c>
      <c r="L186" s="1">
        <f t="shared" si="18"/>
        <v>-5.1512734243274072E-2</v>
      </c>
      <c r="M186" s="122">
        <f t="shared" si="20"/>
        <v>-0.23749999999999816</v>
      </c>
      <c r="N186" s="1">
        <f t="shared" si="19"/>
        <v>0.94848726575672571</v>
      </c>
    </row>
    <row r="187" spans="1:14" x14ac:dyDescent="0.2">
      <c r="A187" s="123">
        <v>182</v>
      </c>
      <c r="B187" s="118">
        <f t="shared" si="21"/>
        <v>-1.8415999999999997</v>
      </c>
      <c r="C187" s="123">
        <f t="shared" si="16"/>
        <v>2.6739249264875043E-8</v>
      </c>
      <c r="D187" s="117">
        <f t="shared" si="22"/>
        <v>-2.0000000000000001E-4</v>
      </c>
      <c r="E187" s="124">
        <f t="shared" si="17"/>
        <v>0.99999997326075052</v>
      </c>
      <c r="F187" s="49">
        <f t="shared" si="23"/>
        <v>0</v>
      </c>
      <c r="K187" s="1">
        <v>182</v>
      </c>
      <c r="L187" s="1">
        <f t="shared" si="18"/>
        <v>-4.6479424974013916E-2</v>
      </c>
      <c r="M187" s="122">
        <f t="shared" si="20"/>
        <v>-0.22499999999999815</v>
      </c>
      <c r="N187" s="1">
        <f t="shared" si="19"/>
        <v>0.95352057502598586</v>
      </c>
    </row>
    <row r="188" spans="1:14" x14ac:dyDescent="0.2">
      <c r="A188" s="123">
        <v>183</v>
      </c>
      <c r="B188" s="118">
        <f t="shared" si="21"/>
        <v>-1.8415999999999997</v>
      </c>
      <c r="C188" s="123">
        <f t="shared" si="16"/>
        <v>2.6739249264875043E-8</v>
      </c>
      <c r="D188" s="117">
        <f t="shared" si="22"/>
        <v>-2.0000000000000001E-4</v>
      </c>
      <c r="E188" s="124">
        <f t="shared" si="17"/>
        <v>0.99999997326075052</v>
      </c>
      <c r="F188" s="49">
        <f t="shared" si="23"/>
        <v>0</v>
      </c>
      <c r="K188" s="1">
        <v>183</v>
      </c>
      <c r="L188" s="1">
        <f t="shared" si="18"/>
        <v>-4.1677095719344193E-2</v>
      </c>
      <c r="M188" s="122">
        <f t="shared" si="20"/>
        <v>-0.21249999999999813</v>
      </c>
      <c r="N188" s="1">
        <f t="shared" si="19"/>
        <v>0.95832290428065559</v>
      </c>
    </row>
    <row r="189" spans="1:14" x14ac:dyDescent="0.2">
      <c r="A189" s="123">
        <v>184</v>
      </c>
      <c r="B189" s="118">
        <f t="shared" si="21"/>
        <v>-1.8415999999999997</v>
      </c>
      <c r="C189" s="123">
        <f t="shared" si="16"/>
        <v>2.6739249264875043E-8</v>
      </c>
      <c r="D189" s="117">
        <f t="shared" si="22"/>
        <v>-2.0000000000000001E-4</v>
      </c>
      <c r="E189" s="124">
        <f t="shared" si="17"/>
        <v>0.99999997326075052</v>
      </c>
      <c r="F189" s="49">
        <f t="shared" si="23"/>
        <v>0</v>
      </c>
      <c r="K189" s="1">
        <v>184</v>
      </c>
      <c r="L189" s="1">
        <f t="shared" si="18"/>
        <v>-3.7110665045094748E-2</v>
      </c>
      <c r="M189" s="122">
        <f t="shared" si="20"/>
        <v>-0.19999999999999812</v>
      </c>
      <c r="N189" s="1">
        <f t="shared" si="19"/>
        <v>0.96288933495490503</v>
      </c>
    </row>
    <row r="190" spans="1:14" x14ac:dyDescent="0.2">
      <c r="A190" s="123">
        <v>185</v>
      </c>
      <c r="B190" s="118">
        <f t="shared" si="21"/>
        <v>-1.8415999999999997</v>
      </c>
      <c r="C190" s="123">
        <f t="shared" si="16"/>
        <v>2.6739249264875043E-8</v>
      </c>
      <c r="D190" s="117">
        <f t="shared" si="22"/>
        <v>-2.0000000000000001E-4</v>
      </c>
      <c r="E190" s="124">
        <f t="shared" si="17"/>
        <v>0.99999997326075052</v>
      </c>
      <c r="F190" s="49">
        <f t="shared" si="23"/>
        <v>0</v>
      </c>
      <c r="K190" s="1">
        <v>185</v>
      </c>
      <c r="L190" s="1">
        <f t="shared" si="18"/>
        <v>-3.2785024612978275E-2</v>
      </c>
      <c r="M190" s="122">
        <f t="shared" si="20"/>
        <v>-0.18749999999999811</v>
      </c>
      <c r="N190" s="1">
        <f t="shared" si="19"/>
        <v>0.9672149753870215</v>
      </c>
    </row>
    <row r="191" spans="1:14" x14ac:dyDescent="0.2">
      <c r="A191" s="123">
        <v>186</v>
      </c>
      <c r="B191" s="118">
        <f t="shared" si="21"/>
        <v>-1.8415999999999997</v>
      </c>
      <c r="C191" s="123">
        <f t="shared" si="16"/>
        <v>2.6739249264875043E-8</v>
      </c>
      <c r="D191" s="117">
        <f t="shared" si="22"/>
        <v>-2.0000000000000001E-4</v>
      </c>
      <c r="E191" s="124">
        <f t="shared" si="17"/>
        <v>0.99999997326075052</v>
      </c>
      <c r="F191" s="49">
        <f t="shared" si="23"/>
        <v>0</v>
      </c>
      <c r="K191" s="1">
        <v>186</v>
      </c>
      <c r="L191" s="1">
        <f t="shared" si="18"/>
        <v>-2.8705036088892411E-2</v>
      </c>
      <c r="M191" s="122">
        <f t="shared" si="20"/>
        <v>-0.1749999999999981</v>
      </c>
      <c r="N191" s="1">
        <f t="shared" si="19"/>
        <v>0.97129496391110737</v>
      </c>
    </row>
    <row r="192" spans="1:14" x14ac:dyDescent="0.2">
      <c r="A192" s="123">
        <v>187</v>
      </c>
      <c r="B192" s="118">
        <f t="shared" si="21"/>
        <v>-1.8415999999999997</v>
      </c>
      <c r="C192" s="123">
        <f t="shared" si="16"/>
        <v>2.6739249264875043E-8</v>
      </c>
      <c r="D192" s="117">
        <f t="shared" si="22"/>
        <v>-2.0000000000000001E-4</v>
      </c>
      <c r="E192" s="124">
        <f t="shared" si="17"/>
        <v>0.99999997326075052</v>
      </c>
      <c r="F192" s="49">
        <f t="shared" si="23"/>
        <v>0</v>
      </c>
      <c r="K192" s="1">
        <v>187</v>
      </c>
      <c r="L192" s="1">
        <f t="shared" si="18"/>
        <v>-2.4875527936265018E-2</v>
      </c>
      <c r="M192" s="122">
        <f t="shared" si="20"/>
        <v>-0.16249999999999809</v>
      </c>
      <c r="N192" s="1">
        <f t="shared" si="19"/>
        <v>0.97512447206373476</v>
      </c>
    </row>
    <row r="193" spans="1:14" x14ac:dyDescent="0.2">
      <c r="A193" s="123">
        <v>188</v>
      </c>
      <c r="B193" s="118">
        <f t="shared" si="21"/>
        <v>-1.8415999999999997</v>
      </c>
      <c r="C193" s="123">
        <f t="shared" si="16"/>
        <v>2.6739249264875043E-8</v>
      </c>
      <c r="D193" s="117">
        <f t="shared" si="22"/>
        <v>-2.0000000000000001E-4</v>
      </c>
      <c r="E193" s="124">
        <f t="shared" si="17"/>
        <v>0.99999997326075052</v>
      </c>
      <c r="F193" s="49">
        <f t="shared" si="23"/>
        <v>0</v>
      </c>
      <c r="K193" s="1">
        <v>188</v>
      </c>
      <c r="L193" s="1">
        <f t="shared" si="18"/>
        <v>-2.1301292090995627E-2</v>
      </c>
      <c r="M193" s="122">
        <f t="shared" si="20"/>
        <v>-0.14999999999999808</v>
      </c>
      <c r="N193" s="1">
        <f t="shared" si="19"/>
        <v>0.97869870790900415</v>
      </c>
    </row>
    <row r="194" spans="1:14" x14ac:dyDescent="0.2">
      <c r="A194" s="123">
        <v>189</v>
      </c>
      <c r="B194" s="118">
        <f t="shared" si="21"/>
        <v>-1.8415999999999997</v>
      </c>
      <c r="C194" s="123">
        <f t="shared" si="16"/>
        <v>2.6739249264875043E-8</v>
      </c>
      <c r="D194" s="117">
        <f t="shared" si="22"/>
        <v>-2.0000000000000001E-4</v>
      </c>
      <c r="E194" s="124">
        <f t="shared" si="17"/>
        <v>0.99999997326075052</v>
      </c>
      <c r="F194" s="49">
        <f t="shared" si="23"/>
        <v>0</v>
      </c>
      <c r="K194" s="1">
        <v>189</v>
      </c>
      <c r="L194" s="1">
        <f t="shared" si="18"/>
        <v>-1.7987080514443754E-2</v>
      </c>
      <c r="M194" s="122">
        <f t="shared" si="20"/>
        <v>-0.13749999999999807</v>
      </c>
      <c r="N194" s="1">
        <f t="shared" si="19"/>
        <v>0.98201291948555602</v>
      </c>
    </row>
    <row r="195" spans="1:14" x14ac:dyDescent="0.2">
      <c r="A195" s="123">
        <v>190</v>
      </c>
      <c r="B195" s="118">
        <f t="shared" si="21"/>
        <v>-1.8415999999999997</v>
      </c>
      <c r="C195" s="123">
        <f t="shared" si="16"/>
        <v>2.6739249264875043E-8</v>
      </c>
      <c r="D195" s="117">
        <f t="shared" si="22"/>
        <v>-2.0000000000000001E-4</v>
      </c>
      <c r="E195" s="124">
        <f t="shared" si="17"/>
        <v>0.99999997326075052</v>
      </c>
      <c r="F195" s="49">
        <f t="shared" si="23"/>
        <v>0</v>
      </c>
      <c r="K195" s="1">
        <v>190</v>
      </c>
      <c r="L195" s="1">
        <f t="shared" si="18"/>
        <v>-1.4937601620827134E-2</v>
      </c>
      <c r="M195" s="122">
        <f t="shared" si="20"/>
        <v>-0.12499999999999807</v>
      </c>
      <c r="N195" s="1">
        <f t="shared" si="19"/>
        <v>0.98506239837917264</v>
      </c>
    </row>
    <row r="196" spans="1:14" x14ac:dyDescent="0.2">
      <c r="A196" s="123">
        <v>191</v>
      </c>
      <c r="B196" s="118">
        <f t="shared" si="21"/>
        <v>-1.8415999999999997</v>
      </c>
      <c r="C196" s="123">
        <f t="shared" si="16"/>
        <v>2.6739249264875043E-8</v>
      </c>
      <c r="D196" s="117">
        <f t="shared" si="22"/>
        <v>-2.0000000000000001E-4</v>
      </c>
      <c r="E196" s="124">
        <f t="shared" si="17"/>
        <v>0.99999997326075052</v>
      </c>
      <c r="F196" s="49">
        <f t="shared" si="23"/>
        <v>0</v>
      </c>
      <c r="K196" s="1">
        <v>191</v>
      </c>
      <c r="L196" s="1">
        <f t="shared" si="18"/>
        <v>-1.2157516575268645E-2</v>
      </c>
      <c r="M196" s="122">
        <f t="shared" si="20"/>
        <v>-0.11249999999999807</v>
      </c>
      <c r="N196" s="1">
        <f t="shared" si="19"/>
        <v>0.98784248342473113</v>
      </c>
    </row>
    <row r="197" spans="1:14" x14ac:dyDescent="0.2">
      <c r="A197" s="123">
        <v>192</v>
      </c>
      <c r="B197" s="118">
        <f t="shared" si="21"/>
        <v>-1.8415999999999997</v>
      </c>
      <c r="C197" s="123">
        <f t="shared" si="16"/>
        <v>2.6739249264875043E-8</v>
      </c>
      <c r="D197" s="117">
        <f t="shared" si="22"/>
        <v>-2.0000000000000001E-4</v>
      </c>
      <c r="E197" s="124">
        <f t="shared" si="17"/>
        <v>0.99999997326075052</v>
      </c>
      <c r="F197" s="49">
        <f t="shared" si="23"/>
        <v>0</v>
      </c>
      <c r="K197" s="1">
        <v>192</v>
      </c>
      <c r="L197" s="1">
        <f t="shared" si="18"/>
        <v>-9.6514354586638706E-3</v>
      </c>
      <c r="M197" s="122">
        <f t="shared" si="20"/>
        <v>-9.9999999999998077E-2</v>
      </c>
      <c r="N197" s="1">
        <f t="shared" si="19"/>
        <v>0.99034856454133591</v>
      </c>
    </row>
    <row r="198" spans="1:14" x14ac:dyDescent="0.2">
      <c r="A198" s="123">
        <v>193</v>
      </c>
      <c r="B198" s="118">
        <f t="shared" si="21"/>
        <v>-1.8415999999999997</v>
      </c>
      <c r="C198" s="123">
        <f t="shared" ref="C198:C205" si="24">(EXP(B198)-2-B198)^2</f>
        <v>2.6739249264875043E-8</v>
      </c>
      <c r="D198" s="117">
        <f t="shared" si="22"/>
        <v>-2.0000000000000001E-4</v>
      </c>
      <c r="E198" s="124">
        <f t="shared" ref="E198:E205" si="25">$R$5-C198</f>
        <v>0.99999997326075052</v>
      </c>
      <c r="F198" s="49">
        <f t="shared" si="23"/>
        <v>0</v>
      </c>
      <c r="K198" s="1">
        <v>193</v>
      </c>
      <c r="L198" s="1">
        <f t="shared" ref="L198:L205" si="26">N198-$R$5</f>
        <v>-7.4239132953988207E-3</v>
      </c>
      <c r="M198" s="122">
        <f t="shared" si="20"/>
        <v>-8.7499999999998079E-2</v>
      </c>
      <c r="N198" s="1">
        <f t="shared" ref="N198:N205" si="27">(EXP(M198)-2-M198)^2</f>
        <v>0.99257608670460096</v>
      </c>
    </row>
    <row r="199" spans="1:14" x14ac:dyDescent="0.2">
      <c r="A199" s="123">
        <v>194</v>
      </c>
      <c r="B199" s="118">
        <f t="shared" si="21"/>
        <v>-1.8415999999999997</v>
      </c>
      <c r="C199" s="123">
        <f t="shared" si="24"/>
        <v>2.6739249264875043E-8</v>
      </c>
      <c r="D199" s="117">
        <f t="shared" si="22"/>
        <v>-2.0000000000000001E-4</v>
      </c>
      <c r="E199" s="124">
        <f t="shared" si="25"/>
        <v>0.99999997326075052</v>
      </c>
      <c r="F199" s="49">
        <f t="shared" si="23"/>
        <v>0</v>
      </c>
      <c r="K199" s="1">
        <v>194</v>
      </c>
      <c r="L199" s="1">
        <f t="shared" si="26"/>
        <v>-5.4794459398704864E-3</v>
      </c>
      <c r="M199" s="122">
        <f t="shared" ref="M199:M205" si="28">M198+$O$5</f>
        <v>-7.4999999999998082E-2</v>
      </c>
      <c r="N199" s="1">
        <f t="shared" si="27"/>
        <v>0.99452055406012929</v>
      </c>
    </row>
    <row r="200" spans="1:14" x14ac:dyDescent="0.2">
      <c r="A200" s="123">
        <v>195</v>
      </c>
      <c r="B200" s="118">
        <f t="shared" ref="B200:B205" si="29">IF(C199&gt;=C198,
         IF(ABS(D199)&lt;=($G$5/$I$5),
                         B199,
                         B199+D200),
         B199+D200)</f>
        <v>-1.8415999999999997</v>
      </c>
      <c r="C200" s="123">
        <f t="shared" si="24"/>
        <v>2.6739249264875043E-8</v>
      </c>
      <c r="D200" s="117">
        <f t="shared" ref="D200:D205" si="30">IF(C199&gt;=C198,
         IF(ABS(D199)&lt;=($G$5/$I$5),
                         D199,
                         -D199/$I$5),
         D199)</f>
        <v>-2.0000000000000001E-4</v>
      </c>
      <c r="E200" s="124">
        <f t="shared" si="25"/>
        <v>0.99999997326075052</v>
      </c>
      <c r="F200" s="49">
        <f t="shared" si="23"/>
        <v>0</v>
      </c>
      <c r="K200" s="1">
        <v>195</v>
      </c>
      <c r="L200" s="1">
        <f t="shared" si="26"/>
        <v>-3.8224658176229109E-3</v>
      </c>
      <c r="M200" s="122">
        <f t="shared" si="28"/>
        <v>-6.2499999999998085E-2</v>
      </c>
      <c r="N200" s="1">
        <f t="shared" si="27"/>
        <v>0.99617753418237687</v>
      </c>
    </row>
    <row r="201" spans="1:14" x14ac:dyDescent="0.2">
      <c r="A201" s="123">
        <v>196</v>
      </c>
      <c r="B201" s="118">
        <f t="shared" si="29"/>
        <v>-1.8415999999999997</v>
      </c>
      <c r="C201" s="123">
        <f t="shared" si="24"/>
        <v>2.6739249264875043E-8</v>
      </c>
      <c r="D201" s="117">
        <f t="shared" si="30"/>
        <v>-2.0000000000000001E-4</v>
      </c>
      <c r="E201" s="124">
        <f t="shared" si="25"/>
        <v>0.99999997326075052</v>
      </c>
      <c r="F201" s="49">
        <f>ABS(B201-B200)</f>
        <v>0</v>
      </c>
      <c r="K201" s="1">
        <v>196</v>
      </c>
      <c r="L201" s="1">
        <f t="shared" si="26"/>
        <v>-2.4573375168245315E-3</v>
      </c>
      <c r="M201" s="122">
        <f t="shared" si="28"/>
        <v>-4.9999999999998088E-2</v>
      </c>
      <c r="N201" s="1">
        <f t="shared" si="27"/>
        <v>0.99754266248317525</v>
      </c>
    </row>
    <row r="202" spans="1:14" x14ac:dyDescent="0.2">
      <c r="A202" s="123">
        <v>197</v>
      </c>
      <c r="B202" s="118">
        <f t="shared" si="29"/>
        <v>-1.8415999999999997</v>
      </c>
      <c r="C202" s="123">
        <f t="shared" si="24"/>
        <v>2.6739249264875043E-8</v>
      </c>
      <c r="D202" s="117">
        <f t="shared" si="30"/>
        <v>-2.0000000000000001E-4</v>
      </c>
      <c r="E202" s="124">
        <f t="shared" si="25"/>
        <v>0.99999997326075052</v>
      </c>
      <c r="F202" s="49">
        <f>ABS(B202-B201)</f>
        <v>0</v>
      </c>
      <c r="K202" s="1">
        <v>197</v>
      </c>
      <c r="L202" s="1">
        <f t="shared" si="26"/>
        <v>-1.388353225672101E-3</v>
      </c>
      <c r="M202" s="122">
        <f t="shared" si="28"/>
        <v>-3.749999999999809E-2</v>
      </c>
      <c r="N202" s="1">
        <f t="shared" si="27"/>
        <v>0.99861164677432768</v>
      </c>
    </row>
    <row r="203" spans="1:14" x14ac:dyDescent="0.2">
      <c r="A203" s="123">
        <v>198</v>
      </c>
      <c r="B203" s="118">
        <f t="shared" si="29"/>
        <v>-1.8415999999999997</v>
      </c>
      <c r="C203" s="123">
        <f t="shared" si="24"/>
        <v>2.6739249264875043E-8</v>
      </c>
      <c r="D203" s="117">
        <f t="shared" si="30"/>
        <v>-2.0000000000000001E-4</v>
      </c>
      <c r="E203" s="124">
        <f t="shared" si="25"/>
        <v>0.99999997326075052</v>
      </c>
      <c r="F203" s="49">
        <f>ABS(B203-B202)</f>
        <v>0</v>
      </c>
      <c r="K203" s="1">
        <v>198</v>
      </c>
      <c r="L203" s="1">
        <f t="shared" si="26"/>
        <v>-6.1972801119947185E-4</v>
      </c>
      <c r="M203" s="122">
        <f t="shared" si="28"/>
        <v>-2.499999999999809E-2</v>
      </c>
      <c r="N203" s="1">
        <f t="shared" si="27"/>
        <v>0.99938027198880031</v>
      </c>
    </row>
    <row r="204" spans="1:14" x14ac:dyDescent="0.2">
      <c r="A204" s="123">
        <v>199</v>
      </c>
      <c r="B204" s="118">
        <f t="shared" si="29"/>
        <v>-1.8415999999999997</v>
      </c>
      <c r="C204" s="123">
        <f t="shared" si="24"/>
        <v>2.6739249264875043E-8</v>
      </c>
      <c r="D204" s="117">
        <f t="shared" si="30"/>
        <v>-2.0000000000000001E-4</v>
      </c>
      <c r="E204" s="124">
        <f t="shared" si="25"/>
        <v>0.99999997326075052</v>
      </c>
      <c r="F204" s="49">
        <f>ABS(B204-B203)</f>
        <v>0</v>
      </c>
      <c r="K204" s="1">
        <v>199</v>
      </c>
      <c r="L204" s="1">
        <f t="shared" si="26"/>
        <v>-1.555949348457375E-4</v>
      </c>
      <c r="M204" s="122">
        <f t="shared" si="28"/>
        <v>-1.2499999999998089E-2</v>
      </c>
      <c r="N204" s="1">
        <f t="shared" si="27"/>
        <v>0.99984440506515404</v>
      </c>
    </row>
    <row r="205" spans="1:14" x14ac:dyDescent="0.2">
      <c r="A205" s="123">
        <v>200</v>
      </c>
      <c r="B205" s="118">
        <f t="shared" si="29"/>
        <v>-1.8415999999999997</v>
      </c>
      <c r="C205" s="123">
        <f t="shared" si="24"/>
        <v>2.6739249264875043E-8</v>
      </c>
      <c r="D205" s="117">
        <f t="shared" si="30"/>
        <v>-2.0000000000000001E-4</v>
      </c>
      <c r="E205" s="124">
        <f t="shared" si="25"/>
        <v>0.99999997326075052</v>
      </c>
      <c r="F205" s="49">
        <f>ABS(B205-B204)</f>
        <v>0</v>
      </c>
      <c r="K205" s="1">
        <v>200</v>
      </c>
      <c r="L205" s="1">
        <f t="shared" si="26"/>
        <v>0</v>
      </c>
      <c r="M205" s="122">
        <f t="shared" si="28"/>
        <v>1.9116652705264414E-15</v>
      </c>
      <c r="N205" s="1">
        <f t="shared" si="27"/>
        <v>0.99999999999999978</v>
      </c>
    </row>
  </sheetData>
  <phoneticPr fontId="2" type="noConversion"/>
  <conditionalFormatting sqref="K5:N205">
    <cfRule type="expression" dxfId="8" priority="1" stopIfTrue="1">
      <formula>$N5=$P$5</formula>
    </cfRule>
  </conditionalFormatting>
  <conditionalFormatting sqref="A5:F205">
    <cfRule type="expression" dxfId="7" priority="2" stopIfTrue="1">
      <formula>$F5=0</formula>
    </cfRule>
  </conditionalFormatting>
  <pageMargins left="0.75" right="0.75" top="1" bottom="1" header="0.5" footer="0.5"/>
  <pageSetup paperSize="9" orientation="portrait" horizontalDpi="200" verticalDpi="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6"/>
  <sheetViews>
    <sheetView workbookViewId="0">
      <selection activeCell="F7" sqref="F7"/>
    </sheetView>
  </sheetViews>
  <sheetFormatPr defaultRowHeight="12.75" x14ac:dyDescent="0.2"/>
  <cols>
    <col min="1" max="1" width="4.85546875" customWidth="1"/>
    <col min="2" max="2" width="8" bestFit="1" customWidth="1"/>
    <col min="3" max="3" width="14.42578125" customWidth="1"/>
    <col min="4" max="4" width="25.7109375" customWidth="1"/>
    <col min="5" max="5" width="8.85546875" customWidth="1"/>
    <col min="6" max="6" width="11" bestFit="1" customWidth="1"/>
    <col min="7" max="7" width="10.7109375" customWidth="1"/>
    <col min="8" max="8" width="12.140625" customWidth="1"/>
    <col min="9" max="9" width="15" customWidth="1"/>
    <col min="14" max="14" width="7.7109375" customWidth="1"/>
    <col min="15" max="15" width="6.28515625" customWidth="1"/>
    <col min="16" max="16" width="7" customWidth="1"/>
    <col min="17" max="17" width="5" customWidth="1"/>
  </cols>
  <sheetData>
    <row r="1" spans="1:20" ht="18" x14ac:dyDescent="0.25">
      <c r="A1" t="s">
        <v>20</v>
      </c>
    </row>
    <row r="2" spans="1:20" x14ac:dyDescent="0.2">
      <c r="A2" t="s">
        <v>21</v>
      </c>
    </row>
    <row r="3" spans="1:20" x14ac:dyDescent="0.2">
      <c r="A3" t="s">
        <v>22</v>
      </c>
    </row>
    <row r="4" spans="1:20" ht="15" customHeight="1" x14ac:dyDescent="0.3">
      <c r="A4" s="135"/>
      <c r="B4" s="136"/>
      <c r="C4" s="136"/>
      <c r="D4" s="136"/>
      <c r="E4" s="135"/>
      <c r="F4" s="136"/>
      <c r="G4" s="136"/>
      <c r="H4" s="136"/>
      <c r="I4" s="136"/>
      <c r="J4" s="136"/>
      <c r="K4" s="137">
        <v>1</v>
      </c>
      <c r="L4" s="137">
        <v>21</v>
      </c>
      <c r="N4" s="174">
        <f ca="1">sheet4!N7</f>
        <v>154</v>
      </c>
      <c r="O4" s="54"/>
      <c r="Q4">
        <f ca="1">IF(N4&lt;=3,21,MATCH(0,sheet3!K7:K27,0))</f>
        <v>21</v>
      </c>
      <c r="S4" t="s">
        <v>75</v>
      </c>
    </row>
    <row r="5" spans="1:20" ht="36" customHeight="1" thickBot="1" x14ac:dyDescent="0.35">
      <c r="A5" s="185" t="s">
        <v>78</v>
      </c>
      <c r="B5" s="185"/>
      <c r="C5" s="185"/>
      <c r="D5" s="185"/>
      <c r="E5" s="185" t="s">
        <v>79</v>
      </c>
      <c r="F5" s="185"/>
      <c r="G5" s="185"/>
      <c r="H5" s="185"/>
      <c r="I5" s="185"/>
      <c r="J5" s="185"/>
      <c r="K5" s="137">
        <v>0.01</v>
      </c>
      <c r="L5" s="138">
        <v>1</v>
      </c>
      <c r="N5" s="54"/>
      <c r="O5" s="54"/>
      <c r="S5" t="s">
        <v>76</v>
      </c>
    </row>
    <row r="6" spans="1:20" ht="42" customHeight="1" thickBot="1" x14ac:dyDescent="0.3">
      <c r="A6" s="139" t="s">
        <v>0</v>
      </c>
      <c r="B6" s="140" t="s">
        <v>82</v>
      </c>
      <c r="C6" s="140" t="s">
        <v>83</v>
      </c>
      <c r="D6" s="141" t="s">
        <v>9</v>
      </c>
      <c r="E6" s="139" t="s">
        <v>5</v>
      </c>
      <c r="F6" s="140" t="s">
        <v>4</v>
      </c>
      <c r="G6" s="141" t="s">
        <v>11</v>
      </c>
      <c r="H6" s="148" t="s">
        <v>6</v>
      </c>
      <c r="I6" s="141" t="s">
        <v>11</v>
      </c>
      <c r="J6" s="149" t="s">
        <v>7</v>
      </c>
      <c r="K6" s="175" t="s">
        <v>89</v>
      </c>
      <c r="S6" t="s">
        <v>77</v>
      </c>
    </row>
    <row r="7" spans="1:20" ht="13.5" thickBot="1" x14ac:dyDescent="0.25">
      <c r="A7" s="47">
        <v>1</v>
      </c>
      <c r="B7" s="48">
        <f ca="1">IF(A7=sheet4!$A$7,sheet4!$B$7,B7)</f>
        <v>9152001.0000000205</v>
      </c>
      <c r="C7" s="48">
        <f ca="1">ABS($F$7-B7)</f>
        <v>51184329.48226212</v>
      </c>
      <c r="D7" s="84"/>
      <c r="E7" s="142">
        <f>IF(K4=1,INDEX(H7:H27,L4),IF(K4=2,L5,IF(E7&lt;2,E7+$K$5,E7)))</f>
        <v>2</v>
      </c>
      <c r="F7" s="143">
        <f>sheet1!J9</f>
        <v>60336330.482262142</v>
      </c>
      <c r="G7" s="144">
        <f ca="1">ABS((D46-D45)/D45)</f>
        <v>0.26863612599650333</v>
      </c>
      <c r="H7" s="145">
        <v>1</v>
      </c>
      <c r="I7" s="146">
        <f ca="1">IF(H7=$E$7,$G$7,I7)</f>
        <v>0.58570282506978288</v>
      </c>
      <c r="J7" s="147">
        <f ca="1">MIN(I7:I27)</f>
        <v>0.26863612599650333</v>
      </c>
      <c r="K7" s="176">
        <f ca="1">I7-$J$7</f>
        <v>0.31706669907327956</v>
      </c>
    </row>
    <row r="8" spans="1:20" x14ac:dyDescent="0.2">
      <c r="A8" s="13">
        <v>2</v>
      </c>
      <c r="B8" s="1">
        <f ca="1">IF(A8=sheet4!$A$7,sheet4!$B$7,B8)</f>
        <v>18304001.000000022</v>
      </c>
      <c r="C8" s="1">
        <f t="shared" ref="C8:C46" ca="1" si="0">ABS($F$7-B8)</f>
        <v>42032329.48226212</v>
      </c>
      <c r="D8" s="58">
        <f ca="1">C8/C7^$E$7</f>
        <v>1.6043880665702787E-8</v>
      </c>
      <c r="H8" s="59">
        <v>1.05</v>
      </c>
      <c r="I8" s="60">
        <f t="shared" ref="I8:I27" ca="1" si="1">IF(H8=$E$7,$G$7,I8)</f>
        <v>0.58570282506978288</v>
      </c>
      <c r="K8" s="177">
        <f t="shared" ref="K8:K26" ca="1" si="2">I8-$J$7</f>
        <v>0.31706669907327956</v>
      </c>
    </row>
    <row r="9" spans="1:20" ht="12.75" customHeight="1" x14ac:dyDescent="0.2">
      <c r="A9" s="13">
        <v>3</v>
      </c>
      <c r="B9" s="1">
        <f ca="1">IF(A9=sheet4!$A$7,sheet4!$B$7,B9)</f>
        <v>27456001.000000022</v>
      </c>
      <c r="C9" s="1">
        <f t="shared" ca="1" si="0"/>
        <v>32880329.48226212</v>
      </c>
      <c r="D9" s="58">
        <f t="shared" ref="D9:D46" ca="1" si="3">C9/C8^$E$7</f>
        <v>1.861097994845613E-8</v>
      </c>
      <c r="H9" s="59">
        <v>1.1000000000000001</v>
      </c>
      <c r="I9" s="60">
        <f t="shared" ca="1" si="1"/>
        <v>0.57376113323467959</v>
      </c>
      <c r="K9" s="177">
        <f t="shared" ca="1" si="2"/>
        <v>0.30512500723817626</v>
      </c>
      <c r="N9" s="190" t="s">
        <v>91</v>
      </c>
      <c r="O9" s="190"/>
      <c r="P9" s="190"/>
      <c r="Q9" s="190"/>
      <c r="R9" s="190"/>
      <c r="S9" s="190"/>
      <c r="T9" s="190"/>
    </row>
    <row r="10" spans="1:20" ht="12.75" customHeight="1" x14ac:dyDescent="0.2">
      <c r="A10" s="13">
        <v>4</v>
      </c>
      <c r="B10" s="1">
        <f ca="1">IF(A10=sheet4!$A$7,sheet4!$B$7,B10)</f>
        <v>36608001.000000022</v>
      </c>
      <c r="C10" s="1">
        <f t="shared" ca="1" si="0"/>
        <v>23728329.48226212</v>
      </c>
      <c r="D10" s="58">
        <f t="shared" ca="1" si="3"/>
        <v>2.194799449344268E-8</v>
      </c>
      <c r="H10" s="59">
        <v>1.1499999999999999</v>
      </c>
      <c r="I10" s="60">
        <f t="shared" ca="1" si="1"/>
        <v>0.56147523436049063</v>
      </c>
      <c r="K10" s="177">
        <f t="shared" ca="1" si="2"/>
        <v>0.2928391083639873</v>
      </c>
      <c r="N10" s="190"/>
      <c r="O10" s="190"/>
      <c r="P10" s="190"/>
      <c r="Q10" s="190"/>
      <c r="R10" s="190"/>
      <c r="S10" s="190"/>
      <c r="T10" s="190"/>
    </row>
    <row r="11" spans="1:20" ht="12.75" customHeight="1" x14ac:dyDescent="0.2">
      <c r="A11" s="13">
        <v>5</v>
      </c>
      <c r="B11" s="1">
        <f ca="1">IF(A11=sheet4!$A$7,sheet4!$B$7,B11)</f>
        <v>45760001.000000022</v>
      </c>
      <c r="C11" s="1">
        <f t="shared" ca="1" si="0"/>
        <v>14576329.48226212</v>
      </c>
      <c r="D11" s="58">
        <f t="shared" ca="1" si="3"/>
        <v>2.5888914913776682E-8</v>
      </c>
      <c r="H11" s="59">
        <v>1.2</v>
      </c>
      <c r="I11" s="60">
        <f t="shared" ca="1" si="1"/>
        <v>0.54883520703177502</v>
      </c>
      <c r="K11" s="177">
        <f t="shared" ca="1" si="2"/>
        <v>0.28019908103527169</v>
      </c>
      <c r="N11" s="190"/>
      <c r="O11" s="190"/>
      <c r="P11" s="190"/>
      <c r="Q11" s="190"/>
      <c r="R11" s="190"/>
      <c r="S11" s="190"/>
      <c r="T11" s="190"/>
    </row>
    <row r="12" spans="1:20" ht="12.75" customHeight="1" x14ac:dyDescent="0.2">
      <c r="A12" s="13">
        <v>6</v>
      </c>
      <c r="B12" s="1">
        <f ca="1">IF(A12=sheet4!$A$7,sheet4!$B$7,B12)</f>
        <v>54912001.000000022</v>
      </c>
      <c r="C12" s="1">
        <f t="shared" ca="1" si="0"/>
        <v>5424329.4822621197</v>
      </c>
      <c r="D12" s="58">
        <f t="shared" ca="1" si="3"/>
        <v>2.5529934959346157E-8</v>
      </c>
      <c r="H12" s="59">
        <v>1.25</v>
      </c>
      <c r="I12" s="60">
        <f t="shared" ca="1" si="1"/>
        <v>0.53583084385845159</v>
      </c>
      <c r="K12" s="177">
        <f t="shared" ca="1" si="2"/>
        <v>0.26719471786194826</v>
      </c>
      <c r="N12" s="190"/>
      <c r="O12" s="190"/>
      <c r="P12" s="190"/>
      <c r="Q12" s="190"/>
      <c r="R12" s="190"/>
      <c r="S12" s="190"/>
      <c r="T12" s="190"/>
    </row>
    <row r="13" spans="1:20" ht="12.75" customHeight="1" x14ac:dyDescent="0.2">
      <c r="A13" s="13">
        <v>7</v>
      </c>
      <c r="B13" s="1">
        <f ca="1">IF(A13=sheet4!$A$7,sheet4!$B$7,B13)</f>
        <v>64064001.000000022</v>
      </c>
      <c r="C13" s="1">
        <f t="shared" ca="1" si="0"/>
        <v>3727670.5177378803</v>
      </c>
      <c r="D13" s="58">
        <f t="shared" ca="1" si="3"/>
        <v>1.2669089262979966E-7</v>
      </c>
      <c r="H13" s="59">
        <v>1.3</v>
      </c>
      <c r="I13" s="60">
        <f t="shared" ca="1" si="1"/>
        <v>0.52245164323287174</v>
      </c>
      <c r="K13" s="177">
        <f t="shared" ca="1" si="2"/>
        <v>0.25381551723636842</v>
      </c>
      <c r="N13" s="190"/>
      <c r="O13" s="190"/>
      <c r="P13" s="190"/>
      <c r="Q13" s="190"/>
      <c r="R13" s="190"/>
      <c r="S13" s="190"/>
      <c r="T13" s="190"/>
    </row>
    <row r="14" spans="1:20" ht="12.75" customHeight="1" x14ac:dyDescent="0.2">
      <c r="A14" s="13">
        <v>8</v>
      </c>
      <c r="B14" s="1">
        <f ca="1">IF(A14=sheet4!$A$7,sheet4!$B$7,B14)</f>
        <v>73216001.00000003</v>
      </c>
      <c r="C14" s="1">
        <f t="shared" ca="1" si="0"/>
        <v>12879670.517737888</v>
      </c>
      <c r="D14" s="58">
        <f t="shared" ca="1" si="3"/>
        <v>9.2689324159214444E-7</v>
      </c>
      <c r="H14" s="59">
        <v>1.35</v>
      </c>
      <c r="I14" s="60">
        <f t="shared" ca="1" si="1"/>
        <v>0.50868680084930173</v>
      </c>
      <c r="K14" s="177">
        <f t="shared" ca="1" si="2"/>
        <v>0.24005067485279841</v>
      </c>
      <c r="N14" s="190"/>
      <c r="O14" s="190"/>
      <c r="P14" s="190"/>
      <c r="Q14" s="190"/>
      <c r="R14" s="190"/>
      <c r="S14" s="190"/>
      <c r="T14" s="190"/>
    </row>
    <row r="15" spans="1:20" ht="12.75" customHeight="1" x14ac:dyDescent="0.2">
      <c r="A15" s="13">
        <v>9</v>
      </c>
      <c r="B15" s="1">
        <f ca="1">IF(A15=sheet4!$A$7,sheet4!$B$7,B15)</f>
        <v>72300801.00000003</v>
      </c>
      <c r="C15" s="1">
        <f t="shared" ca="1" si="0"/>
        <v>11964470.517737888</v>
      </c>
      <c r="D15" s="58">
        <f t="shared" ca="1" si="3"/>
        <v>7.2124692970807357E-8</v>
      </c>
      <c r="H15" s="59">
        <v>1.4</v>
      </c>
      <c r="I15" s="60">
        <f t="shared" ca="1" si="1"/>
        <v>0.49452520097895691</v>
      </c>
      <c r="K15" s="177">
        <f t="shared" ca="1" si="2"/>
        <v>0.22588907498245359</v>
      </c>
      <c r="N15" s="190"/>
      <c r="O15" s="190"/>
      <c r="P15" s="190"/>
      <c r="Q15" s="190"/>
      <c r="R15" s="190"/>
      <c r="S15" s="190"/>
      <c r="T15" s="190"/>
    </row>
    <row r="16" spans="1:20" ht="12.75" customHeight="1" x14ac:dyDescent="0.2">
      <c r="A16" s="13">
        <v>10</v>
      </c>
      <c r="B16" s="1">
        <f ca="1">IF(A16=sheet4!$A$7,sheet4!$B$7,B16)</f>
        <v>71385601.00000003</v>
      </c>
      <c r="C16" s="1">
        <f t="shared" ca="1" si="0"/>
        <v>11049270.517737888</v>
      </c>
      <c r="D16" s="58">
        <f t="shared" ca="1" si="3"/>
        <v>7.7187440246986492E-8</v>
      </c>
      <c r="H16" s="59">
        <v>1.45</v>
      </c>
      <c r="I16" s="60">
        <f t="shared" ca="1" si="1"/>
        <v>0.47995540749355248</v>
      </c>
      <c r="K16" s="177">
        <f t="shared" ca="1" si="2"/>
        <v>0.21131928149704915</v>
      </c>
      <c r="N16" s="190"/>
      <c r="O16" s="190"/>
      <c r="P16" s="190"/>
      <c r="Q16" s="190"/>
      <c r="R16" s="190"/>
      <c r="S16" s="190"/>
      <c r="T16" s="190"/>
    </row>
    <row r="17" spans="1:20" ht="12.75" customHeight="1" x14ac:dyDescent="0.2">
      <c r="A17" s="13">
        <v>11</v>
      </c>
      <c r="B17" s="1">
        <f ca="1">IF(A17=sheet4!$A$7,sheet4!$B$7,B17)</f>
        <v>70470401.00000003</v>
      </c>
      <c r="C17" s="1">
        <f t="shared" ca="1" si="0"/>
        <v>10134070.517737888</v>
      </c>
      <c r="D17" s="58">
        <f t="shared" ca="1" si="3"/>
        <v>8.3007380535739272E-8</v>
      </c>
      <c r="H17" s="59">
        <v>1.5</v>
      </c>
      <c r="I17" s="60">
        <f t="shared" ca="1" si="1"/>
        <v>0.46496565463011585</v>
      </c>
      <c r="K17" s="177">
        <f t="shared" ca="1" si="2"/>
        <v>0.19632952863361253</v>
      </c>
      <c r="N17" s="190"/>
      <c r="O17" s="190"/>
      <c r="P17" s="190"/>
      <c r="Q17" s="190"/>
      <c r="R17" s="190"/>
      <c r="S17" s="190"/>
      <c r="T17" s="190"/>
    </row>
    <row r="18" spans="1:20" ht="12.75" customHeight="1" x14ac:dyDescent="0.2">
      <c r="A18" s="13">
        <v>12</v>
      </c>
      <c r="B18" s="1">
        <f ca="1">IF(A18=sheet4!$A$7,sheet4!$B$7,B18)</f>
        <v>69555201.00000003</v>
      </c>
      <c r="C18" s="1">
        <f t="shared" ca="1" si="0"/>
        <v>9218870.5177378878</v>
      </c>
      <c r="D18" s="58">
        <f t="shared" ca="1" si="3"/>
        <v>8.9765586176926923E-8</v>
      </c>
      <c r="H18" s="59">
        <v>1.55</v>
      </c>
      <c r="I18" s="60">
        <f t="shared" ca="1" si="1"/>
        <v>0.44954383748960852</v>
      </c>
      <c r="K18" s="177">
        <f t="shared" ca="1" si="2"/>
        <v>0.18090771149310519</v>
      </c>
      <c r="N18" s="190"/>
      <c r="O18" s="190"/>
      <c r="P18" s="190"/>
      <c r="Q18" s="190"/>
      <c r="R18" s="190"/>
      <c r="S18" s="190"/>
      <c r="T18" s="190"/>
    </row>
    <row r="19" spans="1:20" ht="12.75" customHeight="1" x14ac:dyDescent="0.2">
      <c r="A19" s="13">
        <v>13</v>
      </c>
      <c r="B19" s="1">
        <f ca="1">IF(A19=sheet4!$A$7,sheet4!$B$7,B19)</f>
        <v>68640001.00000003</v>
      </c>
      <c r="C19" s="1">
        <f t="shared" ca="1" si="0"/>
        <v>8303670.5177378878</v>
      </c>
      <c r="D19" s="58">
        <f t="shared" ca="1" si="3"/>
        <v>9.7704525070810827E-8</v>
      </c>
      <c r="H19" s="59">
        <v>1.6</v>
      </c>
      <c r="I19" s="60">
        <f t="shared" ca="1" si="1"/>
        <v>0.43367750226166513</v>
      </c>
      <c r="K19" s="177">
        <f t="shared" ca="1" si="2"/>
        <v>0.1650413762651618</v>
      </c>
    </row>
    <row r="20" spans="1:20" x14ac:dyDescent="0.2">
      <c r="A20" s="13">
        <v>14</v>
      </c>
      <c r="B20" s="1">
        <f ca="1">IF(A20=sheet4!$A$7,sheet4!$B$7,B20)</f>
        <v>67724801.00000003</v>
      </c>
      <c r="C20" s="1">
        <f t="shared" ca="1" si="0"/>
        <v>7388470.5177378878</v>
      </c>
      <c r="D20" s="58">
        <f t="shared" ca="1" si="3"/>
        <v>1.0715546563862074E-7</v>
      </c>
      <c r="H20" s="59">
        <v>1.65</v>
      </c>
      <c r="I20" s="60">
        <f t="shared" ca="1" si="1"/>
        <v>0.41735383616759542</v>
      </c>
      <c r="K20" s="177">
        <f t="shared" ca="1" si="2"/>
        <v>0.14871771017109209</v>
      </c>
    </row>
    <row r="21" spans="1:20" x14ac:dyDescent="0.2">
      <c r="A21" s="13">
        <v>15</v>
      </c>
      <c r="B21" s="1">
        <f ca="1">IF(A21=sheet4!$A$7,sheet4!$B$7,B21)</f>
        <v>66809601.00000003</v>
      </c>
      <c r="C21" s="1">
        <f t="shared" ca="1" si="0"/>
        <v>6473270.5177378878</v>
      </c>
      <c r="D21" s="58">
        <f t="shared" ca="1" si="3"/>
        <v>1.1858087950838447E-7</v>
      </c>
      <c r="H21" s="59">
        <v>1.7</v>
      </c>
      <c r="I21" s="60">
        <f t="shared" ca="1" si="1"/>
        <v>0.38328140304504743</v>
      </c>
      <c r="K21" s="177">
        <f t="shared" ca="1" si="2"/>
        <v>0.1146452770485441</v>
      </c>
    </row>
    <row r="22" spans="1:20" x14ac:dyDescent="0.2">
      <c r="A22" s="13">
        <v>16</v>
      </c>
      <c r="B22" s="1">
        <f ca="1">IF(A22=sheet4!$A$7,sheet4!$B$7,B22)</f>
        <v>65894401.00000003</v>
      </c>
      <c r="C22" s="1">
        <f t="shared" ca="1" si="0"/>
        <v>5558070.5177378878</v>
      </c>
      <c r="D22" s="58">
        <f t="shared" ca="1" si="3"/>
        <v>1.3264061885263516E-7</v>
      </c>
      <c r="H22" s="59">
        <v>1.75</v>
      </c>
      <c r="I22" s="60">
        <f t="shared" ca="1" si="1"/>
        <v>0.38328140304504743</v>
      </c>
      <c r="K22" s="177">
        <f t="shared" ca="1" si="2"/>
        <v>0.1146452770485441</v>
      </c>
    </row>
    <row r="23" spans="1:20" x14ac:dyDescent="0.2">
      <c r="A23" s="13">
        <v>17</v>
      </c>
      <c r="B23" s="1">
        <f ca="1">IF(A23=sheet4!$A$7,sheet4!$B$7,B23)</f>
        <v>64979201.00000003</v>
      </c>
      <c r="C23" s="1">
        <f t="shared" ca="1" si="0"/>
        <v>4642870.5177378878</v>
      </c>
      <c r="D23" s="58">
        <f t="shared" ca="1" si="3"/>
        <v>1.5029290082874542E-7</v>
      </c>
      <c r="H23" s="59">
        <v>1.8</v>
      </c>
      <c r="I23" s="60">
        <f t="shared" ca="1" si="1"/>
        <v>0.36550512099568455</v>
      </c>
      <c r="K23" s="177">
        <f t="shared" ca="1" si="2"/>
        <v>9.6868994999181224E-2</v>
      </c>
    </row>
    <row r="24" spans="1:20" x14ac:dyDescent="0.2">
      <c r="A24" s="13">
        <v>18</v>
      </c>
      <c r="B24" s="1">
        <f ca="1">IF(A24=sheet4!$A$7,sheet4!$B$7,B24)</f>
        <v>64064001.00000003</v>
      </c>
      <c r="C24" s="1">
        <f t="shared" ca="1" si="0"/>
        <v>3727670.5177378878</v>
      </c>
      <c r="D24" s="58">
        <f t="shared" ca="1" si="3"/>
        <v>1.7292762414613135E-7</v>
      </c>
      <c r="H24" s="59">
        <v>1.85</v>
      </c>
      <c r="I24" s="60">
        <f t="shared" ca="1" si="1"/>
        <v>0.34721645581882071</v>
      </c>
      <c r="K24" s="177">
        <f t="shared" ca="1" si="2"/>
        <v>7.8580329822317385E-2</v>
      </c>
    </row>
    <row r="25" spans="1:20" x14ac:dyDescent="0.2">
      <c r="A25" s="13">
        <v>19</v>
      </c>
      <c r="B25" s="1">
        <f ca="1">IF(A25=sheet4!$A$7,sheet4!$B$7,B25)</f>
        <v>63148801.00000003</v>
      </c>
      <c r="C25" s="1">
        <f t="shared" ca="1" si="0"/>
        <v>2812470.5177378878</v>
      </c>
      <c r="D25" s="58">
        <f t="shared" ca="1" si="3"/>
        <v>2.0240113374625762E-7</v>
      </c>
      <c r="H25" s="59">
        <v>1.9</v>
      </c>
      <c r="I25" s="60">
        <f t="shared" ca="1" si="1"/>
        <v>0.32840063859546942</v>
      </c>
      <c r="K25" s="177">
        <f t="shared" ca="1" si="2"/>
        <v>5.9764512598966091E-2</v>
      </c>
    </row>
    <row r="26" spans="1:20" x14ac:dyDescent="0.2">
      <c r="A26" s="13">
        <v>20</v>
      </c>
      <c r="B26" s="1">
        <f ca="1">IF(A26=sheet4!$A$7,sheet4!$B$7,B26)</f>
        <v>62233601.00000003</v>
      </c>
      <c r="C26" s="1">
        <f t="shared" ca="1" si="0"/>
        <v>1897270.5177378878</v>
      </c>
      <c r="D26" s="58">
        <f t="shared" ca="1" si="3"/>
        <v>2.3985749901605489E-7</v>
      </c>
      <c r="H26" s="59">
        <v>1.95</v>
      </c>
      <c r="I26" s="60">
        <f t="shared" ca="1" si="1"/>
        <v>0.28912633156821971</v>
      </c>
      <c r="K26" s="177">
        <f t="shared" ca="1" si="2"/>
        <v>2.049020557171638E-2</v>
      </c>
    </row>
    <row r="27" spans="1:20" ht="13.5" thickBot="1" x14ac:dyDescent="0.25">
      <c r="A27" s="13">
        <v>21</v>
      </c>
      <c r="B27" s="1">
        <f ca="1">IF(A27=sheet4!$A$7,sheet4!$B$7,B27)</f>
        <v>61318401.00000003</v>
      </c>
      <c r="C27" s="1">
        <f t="shared" ca="1" si="0"/>
        <v>982070.5177378878</v>
      </c>
      <c r="D27" s="58">
        <f t="shared" ca="1" si="3"/>
        <v>2.7282499582308202E-7</v>
      </c>
      <c r="H27" s="61">
        <v>2</v>
      </c>
      <c r="I27" s="62">
        <f t="shared" ca="1" si="1"/>
        <v>0.26863612599650333</v>
      </c>
      <c r="K27" s="178">
        <f ca="1">I27-$J$7</f>
        <v>0</v>
      </c>
    </row>
    <row r="28" spans="1:20" ht="13.5" customHeight="1" x14ac:dyDescent="0.3">
      <c r="A28" s="13">
        <v>22</v>
      </c>
      <c r="B28" s="1">
        <f ca="1">IF(A28=sheet4!$A$7,sheet4!$B$7,B28)</f>
        <v>60403201.00000003</v>
      </c>
      <c r="C28" s="1">
        <f t="shared" ca="1" si="0"/>
        <v>66870.5177378878</v>
      </c>
      <c r="D28" s="58">
        <f t="shared" ca="1" si="3"/>
        <v>6.9334492126334543E-8</v>
      </c>
      <c r="G28" s="181" t="s">
        <v>84</v>
      </c>
      <c r="H28" s="182"/>
      <c r="I28" s="182"/>
      <c r="J28" s="183"/>
      <c r="N28" s="54"/>
      <c r="O28" s="54"/>
    </row>
    <row r="29" spans="1:20" ht="16.5" customHeight="1" x14ac:dyDescent="0.3">
      <c r="A29" s="13">
        <v>23</v>
      </c>
      <c r="B29" s="1">
        <f ca="1">IF(A29=sheet4!$A$7,sheet4!$B$7,B29)</f>
        <v>59488001.00000003</v>
      </c>
      <c r="C29" s="1">
        <f t="shared" ca="1" si="0"/>
        <v>848329.4822621122</v>
      </c>
      <c r="D29" s="58">
        <f t="shared" ca="1" si="3"/>
        <v>1.8971216884754719E-4</v>
      </c>
      <c r="G29" s="184"/>
      <c r="H29" s="185"/>
      <c r="I29" s="185"/>
      <c r="J29" s="186"/>
      <c r="N29" s="54"/>
      <c r="O29" s="54"/>
    </row>
    <row r="30" spans="1:20" ht="16.5" customHeight="1" x14ac:dyDescent="0.3">
      <c r="A30" s="13">
        <v>24</v>
      </c>
      <c r="B30" s="1">
        <f ca="1">IF(A30=sheet4!$A$7,sheet4!$B$7,B30)</f>
        <v>59579521.00000003</v>
      </c>
      <c r="C30" s="1">
        <f t="shared" ca="1" si="0"/>
        <v>756809.4822621122</v>
      </c>
      <c r="D30" s="58">
        <f t="shared" ca="1" si="3"/>
        <v>1.0516166266821859E-6</v>
      </c>
      <c r="G30" s="184"/>
      <c r="H30" s="185"/>
      <c r="I30" s="185"/>
      <c r="J30" s="186"/>
      <c r="N30" s="54"/>
      <c r="O30" s="54"/>
    </row>
    <row r="31" spans="1:20" ht="16.5" customHeight="1" thickBot="1" x14ac:dyDescent="0.35">
      <c r="A31" s="13">
        <v>25</v>
      </c>
      <c r="B31" s="1">
        <f ca="1">IF(A31=sheet4!$A$7,sheet4!$B$7,B31)</f>
        <v>59671041.00000003</v>
      </c>
      <c r="C31" s="1">
        <f t="shared" ca="1" si="0"/>
        <v>665289.4822621122</v>
      </c>
      <c r="D31" s="58">
        <f t="shared" ca="1" si="3"/>
        <v>1.1615489805710762E-6</v>
      </c>
      <c r="G31" s="187"/>
      <c r="H31" s="188"/>
      <c r="I31" s="188"/>
      <c r="J31" s="189"/>
      <c r="N31" s="54"/>
      <c r="O31" s="54"/>
    </row>
    <row r="32" spans="1:20" ht="16.5" customHeight="1" thickBot="1" x14ac:dyDescent="0.35">
      <c r="A32" s="13">
        <v>26</v>
      </c>
      <c r="B32" s="1">
        <f ca="1">IF(A32=sheet4!$A$7,sheet4!$B$7,B32)</f>
        <v>59762561.00000003</v>
      </c>
      <c r="C32" s="1">
        <f t="shared" ca="1" si="0"/>
        <v>573769.4822621122</v>
      </c>
      <c r="D32" s="58">
        <f t="shared" ca="1" si="3"/>
        <v>1.2963316663432886E-6</v>
      </c>
      <c r="G32" s="55" t="s">
        <v>0</v>
      </c>
      <c r="H32" s="56" t="s">
        <v>10</v>
      </c>
      <c r="I32" s="56" t="s">
        <v>2</v>
      </c>
      <c r="J32" s="57" t="s">
        <v>8</v>
      </c>
      <c r="N32" s="54"/>
      <c r="O32" s="54"/>
    </row>
    <row r="33" spans="1:15" ht="16.5" customHeight="1" x14ac:dyDescent="0.3">
      <c r="A33" s="13">
        <v>27</v>
      </c>
      <c r="B33" s="1">
        <f ca="1">IF(A33=sheet4!$A$7,sheet4!$B$7,B33)</f>
        <v>59854081.00000003</v>
      </c>
      <c r="C33" s="1">
        <f t="shared" ca="1" si="0"/>
        <v>482249.4822621122</v>
      </c>
      <c r="D33" s="58">
        <f ca="1">C33/C32^$E$7</f>
        <v>1.4648625617424879E-6</v>
      </c>
      <c r="G33" s="47">
        <v>1</v>
      </c>
      <c r="H33" s="9">
        <v>9100000</v>
      </c>
      <c r="I33" s="48">
        <v>10</v>
      </c>
      <c r="J33" s="153">
        <v>1.1499999999999999</v>
      </c>
      <c r="N33" s="54"/>
      <c r="O33" s="54"/>
    </row>
    <row r="34" spans="1:15" ht="16.5" customHeight="1" x14ac:dyDescent="0.3">
      <c r="A34" s="13">
        <v>28</v>
      </c>
      <c r="B34" s="1">
        <f ca="1">IF(A34=sheet4!$A$7,sheet4!$B$7,B34)</f>
        <v>59945601.00000003</v>
      </c>
      <c r="C34" s="1">
        <f t="shared" ca="1" si="0"/>
        <v>390729.4822621122</v>
      </c>
      <c r="D34" s="58">
        <f t="shared" ca="1" si="3"/>
        <v>1.6800903670926551E-6</v>
      </c>
      <c r="G34" s="13">
        <v>2</v>
      </c>
      <c r="H34" s="11">
        <v>9104000</v>
      </c>
      <c r="I34" s="1">
        <v>10</v>
      </c>
      <c r="J34" s="58">
        <v>1.1000000000000001</v>
      </c>
      <c r="N34" s="54"/>
      <c r="O34" s="54"/>
    </row>
    <row r="35" spans="1:15" ht="16.5" customHeight="1" x14ac:dyDescent="0.3">
      <c r="A35" s="13">
        <v>29</v>
      </c>
      <c r="B35" s="1">
        <f ca="1">IF(A35=sheet4!$A$7,sheet4!$B$7,B35)</f>
        <v>60037121.00000003</v>
      </c>
      <c r="C35" s="1">
        <f t="shared" ca="1" si="0"/>
        <v>299209.4822621122</v>
      </c>
      <c r="D35" s="58">
        <f t="shared" ca="1" si="3"/>
        <v>1.9598507022100347E-6</v>
      </c>
      <c r="G35" s="13">
        <v>3</v>
      </c>
      <c r="H35" s="11">
        <v>9126000</v>
      </c>
      <c r="I35" s="1">
        <v>10</v>
      </c>
      <c r="J35" s="58">
        <v>1.25</v>
      </c>
      <c r="N35" s="54"/>
      <c r="O35" s="54"/>
    </row>
    <row r="36" spans="1:15" ht="16.5" customHeight="1" x14ac:dyDescent="0.2">
      <c r="A36" s="13">
        <v>30</v>
      </c>
      <c r="B36" s="1">
        <f ca="1">IF(A36=sheet4!$A$7,sheet4!$B$7,B36)</f>
        <v>60128641.00000003</v>
      </c>
      <c r="C36" s="1">
        <f t="shared" ca="1" si="0"/>
        <v>207689.4822621122</v>
      </c>
      <c r="D36" s="58">
        <f t="shared" ca="1" si="3"/>
        <v>2.3198707993590103E-6</v>
      </c>
      <c r="G36" s="13">
        <v>4</v>
      </c>
      <c r="H36" s="11">
        <v>9140000</v>
      </c>
      <c r="I36" s="1">
        <v>10</v>
      </c>
      <c r="J36" s="58">
        <v>1.3</v>
      </c>
    </row>
    <row r="37" spans="1:15" ht="12.75" customHeight="1" thickBot="1" x14ac:dyDescent="0.25">
      <c r="A37" s="13">
        <v>31</v>
      </c>
      <c r="B37" s="1">
        <f ca="1">IF(A37=sheet4!$A$7,sheet4!$B$7,B37)</f>
        <v>60220161.00000003</v>
      </c>
      <c r="C37" s="1">
        <f t="shared" ca="1" si="0"/>
        <v>116169.4822621122</v>
      </c>
      <c r="D37" s="58">
        <f t="shared" ca="1" si="3"/>
        <v>2.6931655247074624E-6</v>
      </c>
      <c r="G37" s="14">
        <v>5</v>
      </c>
      <c r="H37" s="44">
        <v>9152000</v>
      </c>
      <c r="I37" s="15">
        <v>10</v>
      </c>
      <c r="J37" s="63">
        <v>2</v>
      </c>
    </row>
    <row r="38" spans="1:15" ht="12.75" customHeight="1" x14ac:dyDescent="0.2">
      <c r="A38" s="13">
        <v>32</v>
      </c>
      <c r="B38" s="1">
        <f ca="1">IF(A38=sheet4!$A$7,sheet4!$B$7,B38)</f>
        <v>60311681.00000003</v>
      </c>
      <c r="C38" s="1">
        <f t="shared" ca="1" si="0"/>
        <v>24649.4822621122</v>
      </c>
      <c r="D38" s="58">
        <f t="shared" ca="1" si="3"/>
        <v>1.8265168967615505E-6</v>
      </c>
      <c r="G38" s="135"/>
      <c r="H38" s="179"/>
      <c r="I38" s="135"/>
      <c r="J38" s="135"/>
    </row>
    <row r="39" spans="1:15" ht="12.75" customHeight="1" x14ac:dyDescent="0.2">
      <c r="A39" s="13">
        <v>33</v>
      </c>
      <c r="B39" s="1">
        <f ca="1">IF(A39=sheet4!$A$7,sheet4!$B$7,B39)</f>
        <v>60403201.00000003</v>
      </c>
      <c r="C39" s="1">
        <f t="shared" ca="1" si="0"/>
        <v>66870.5177378878</v>
      </c>
      <c r="D39" s="58">
        <f t="shared" ca="1" si="3"/>
        <v>1.1005735775910048E-4</v>
      </c>
      <c r="G39" s="135"/>
      <c r="H39" s="179"/>
      <c r="I39" s="135"/>
      <c r="J39" s="135"/>
    </row>
    <row r="40" spans="1:15" ht="13.5" customHeight="1" x14ac:dyDescent="0.2">
      <c r="A40" s="13">
        <v>34</v>
      </c>
      <c r="B40" s="1">
        <f ca="1">IF(A40=sheet4!$A$7,sheet4!$B$7,B40)</f>
        <v>60394049.00000003</v>
      </c>
      <c r="C40" s="1">
        <f t="shared" ca="1" si="0"/>
        <v>57718.5177378878</v>
      </c>
      <c r="D40" s="58">
        <f t="shared" ca="1" si="3"/>
        <v>1.290760890865405E-5</v>
      </c>
      <c r="G40" s="135"/>
      <c r="H40" s="179"/>
      <c r="I40" s="135"/>
      <c r="J40" s="135"/>
    </row>
    <row r="41" spans="1:15" x14ac:dyDescent="0.2">
      <c r="A41" s="13">
        <v>35</v>
      </c>
      <c r="B41" s="1">
        <f ca="1">IF(A41=sheet4!$A$7,sheet4!$B$7,B41)</f>
        <v>60384897.00000003</v>
      </c>
      <c r="C41" s="1">
        <f t="shared" ca="1" si="0"/>
        <v>48566.5177378878</v>
      </c>
      <c r="D41" s="58">
        <f t="shared" ca="1" si="3"/>
        <v>1.4578291378511597E-5</v>
      </c>
      <c r="G41" s="135"/>
      <c r="H41" s="179"/>
      <c r="I41" s="135"/>
      <c r="J41" s="135"/>
    </row>
    <row r="42" spans="1:15" x14ac:dyDescent="0.2">
      <c r="A42" s="13">
        <v>36</v>
      </c>
      <c r="B42" s="1">
        <f ca="1">IF(A42=sheet4!$A$7,sheet4!$B$7,B42)</f>
        <v>60375745.00000003</v>
      </c>
      <c r="C42" s="1">
        <f t="shared" ca="1" si="0"/>
        <v>39414.5177378878</v>
      </c>
      <c r="D42" s="58">
        <f t="shared" ca="1" si="3"/>
        <v>1.6710224570891303E-5</v>
      </c>
      <c r="G42" s="135"/>
      <c r="H42" s="179"/>
      <c r="I42" s="135"/>
      <c r="J42" s="135"/>
    </row>
    <row r="43" spans="1:15" x14ac:dyDescent="0.2">
      <c r="A43" s="13">
        <v>37</v>
      </c>
      <c r="B43" s="1">
        <f ca="1">IF(A43=sheet4!$A$7,sheet4!$B$7,B43)</f>
        <v>60366593.00000003</v>
      </c>
      <c r="C43" s="1">
        <f t="shared" ca="1" si="0"/>
        <v>30262.5177378878</v>
      </c>
      <c r="D43" s="58">
        <f t="shared" ca="1" si="3"/>
        <v>1.948016463174435E-5</v>
      </c>
      <c r="G43" s="135"/>
      <c r="H43" s="179"/>
      <c r="I43" s="135"/>
      <c r="J43" s="135"/>
    </row>
    <row r="44" spans="1:15" x14ac:dyDescent="0.2">
      <c r="A44" s="13">
        <v>38</v>
      </c>
      <c r="B44" s="1">
        <f ca="1">IF(A44=sheet4!$A$7,sheet4!$B$7,B44)</f>
        <v>60357441.00000003</v>
      </c>
      <c r="C44" s="1">
        <f t="shared" ca="1" si="0"/>
        <v>21110.5177378878</v>
      </c>
      <c r="D44" s="58">
        <f t="shared" ca="1" si="3"/>
        <v>2.3050946913899784E-5</v>
      </c>
      <c r="G44" s="135"/>
      <c r="H44" s="179"/>
      <c r="I44" s="135"/>
      <c r="J44" s="135"/>
    </row>
    <row r="45" spans="1:15" x14ac:dyDescent="0.2">
      <c r="A45" s="13">
        <v>39</v>
      </c>
      <c r="B45" s="1">
        <f ca="1">IF(A45=sheet4!$A$7,sheet4!$B$7,B45)</f>
        <v>60348289.00000003</v>
      </c>
      <c r="C45" s="1">
        <f t="shared" ca="1" si="0"/>
        <v>11958.5177378878</v>
      </c>
      <c r="D45" s="58">
        <f t="shared" ca="1" si="3"/>
        <v>2.6833639625648337E-5</v>
      </c>
      <c r="G45" s="135"/>
      <c r="H45" s="179"/>
      <c r="I45" s="135"/>
      <c r="J45" s="135"/>
    </row>
    <row r="46" spans="1:15" ht="13.5" thickBot="1" x14ac:dyDescent="0.25">
      <c r="A46" s="14">
        <v>40</v>
      </c>
      <c r="B46" s="15">
        <f ca="1">IF(A46=sheet4!$A$7,sheet4!$B$7,B46)</f>
        <v>60339137.00000003</v>
      </c>
      <c r="C46" s="15">
        <f t="shared" ca="1" si="0"/>
        <v>2806.5177378877997</v>
      </c>
      <c r="D46" s="63">
        <f t="shared" ca="1" si="3"/>
        <v>1.9625154630227906E-5</v>
      </c>
      <c r="G46" s="135"/>
      <c r="H46" s="179"/>
      <c r="I46" s="135"/>
      <c r="J46" s="135"/>
    </row>
    <row r="47" spans="1:15" x14ac:dyDescent="0.2">
      <c r="G47" s="135"/>
      <c r="H47" s="179"/>
      <c r="I47" s="135"/>
      <c r="J47" s="135"/>
    </row>
    <row r="48" spans="1:15" x14ac:dyDescent="0.2">
      <c r="G48" s="135"/>
      <c r="H48" s="179"/>
      <c r="I48" s="135"/>
      <c r="J48" s="135"/>
    </row>
    <row r="49" spans="7:10" x14ac:dyDescent="0.2">
      <c r="G49" s="135"/>
      <c r="H49" s="179"/>
      <c r="I49" s="135"/>
      <c r="J49" s="135"/>
    </row>
    <row r="50" spans="7:10" x14ac:dyDescent="0.2">
      <c r="G50" s="135"/>
      <c r="H50" s="179"/>
      <c r="I50" s="135"/>
      <c r="J50" s="135"/>
    </row>
    <row r="51" spans="7:10" x14ac:dyDescent="0.2">
      <c r="G51" s="135"/>
      <c r="H51" s="179"/>
      <c r="I51" s="135"/>
      <c r="J51" s="135"/>
    </row>
    <row r="52" spans="7:10" x14ac:dyDescent="0.2">
      <c r="G52" s="135"/>
      <c r="H52" s="179"/>
      <c r="I52" s="135"/>
      <c r="J52" s="135"/>
    </row>
    <row r="53" spans="7:10" x14ac:dyDescent="0.2">
      <c r="G53" s="135"/>
      <c r="H53" s="179"/>
      <c r="I53" s="135"/>
      <c r="J53" s="135"/>
    </row>
    <row r="54" spans="7:10" x14ac:dyDescent="0.2">
      <c r="G54" s="135"/>
      <c r="H54" s="179"/>
      <c r="I54" s="135"/>
      <c r="J54" s="135"/>
    </row>
    <row r="55" spans="7:10" x14ac:dyDescent="0.2">
      <c r="G55" s="135"/>
      <c r="H55" s="179"/>
      <c r="I55" s="135"/>
      <c r="J55" s="135"/>
    </row>
    <row r="56" spans="7:10" x14ac:dyDescent="0.2">
      <c r="G56" s="135"/>
      <c r="H56" s="179"/>
      <c r="I56" s="135"/>
      <c r="J56" s="135"/>
    </row>
    <row r="57" spans="7:10" x14ac:dyDescent="0.2">
      <c r="G57" s="135"/>
      <c r="H57" s="179"/>
      <c r="I57" s="135"/>
      <c r="J57" s="135"/>
    </row>
    <row r="58" spans="7:10" x14ac:dyDescent="0.2">
      <c r="G58" s="135"/>
      <c r="H58" s="179"/>
      <c r="I58" s="135"/>
      <c r="J58" s="135"/>
    </row>
    <row r="59" spans="7:10" x14ac:dyDescent="0.2">
      <c r="G59" s="135"/>
      <c r="H59" s="179"/>
      <c r="I59" s="135"/>
      <c r="J59" s="135"/>
    </row>
    <row r="60" spans="7:10" x14ac:dyDescent="0.2">
      <c r="G60" s="135"/>
      <c r="H60" s="179"/>
      <c r="I60" s="135"/>
      <c r="J60" s="135"/>
    </row>
    <row r="61" spans="7:10" x14ac:dyDescent="0.2">
      <c r="G61" s="135"/>
      <c r="H61" s="179"/>
      <c r="I61" s="135"/>
      <c r="J61" s="135"/>
    </row>
    <row r="62" spans="7:10" x14ac:dyDescent="0.2">
      <c r="G62" s="135"/>
      <c r="H62" s="179"/>
      <c r="I62" s="135"/>
      <c r="J62" s="135"/>
    </row>
    <row r="63" spans="7:10" x14ac:dyDescent="0.2">
      <c r="G63" s="135"/>
      <c r="H63" s="179"/>
      <c r="I63" s="135"/>
      <c r="J63" s="135"/>
    </row>
    <row r="64" spans="7:10" x14ac:dyDescent="0.2">
      <c r="G64" s="135"/>
      <c r="H64" s="179"/>
      <c r="I64" s="135"/>
      <c r="J64" s="135"/>
    </row>
    <row r="65" spans="7:10" x14ac:dyDescent="0.2">
      <c r="G65" s="135"/>
      <c r="H65" s="179"/>
      <c r="I65" s="135"/>
      <c r="J65" s="135"/>
    </row>
    <row r="66" spans="7:10" x14ac:dyDescent="0.2">
      <c r="G66" s="135"/>
      <c r="H66" s="179"/>
      <c r="I66" s="135"/>
      <c r="J66" s="135"/>
    </row>
  </sheetData>
  <mergeCells count="4">
    <mergeCell ref="G28:J31"/>
    <mergeCell ref="A5:D5"/>
    <mergeCell ref="E5:J5"/>
    <mergeCell ref="N9:T18"/>
  </mergeCells>
  <phoneticPr fontId="2" type="noConversion"/>
  <conditionalFormatting sqref="H7:I27 L5">
    <cfRule type="expression" dxfId="6" priority="1" stopIfTrue="1">
      <formula>$I5=$J$7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List Box 1">
              <controlPr defaultSize="0" autoLine="0" autoPict="0">
                <anchor moveWithCells="1">
                  <from>
                    <xdr:col>4</xdr:col>
                    <xdr:colOff>0</xdr:colOff>
                    <xdr:row>7</xdr:row>
                    <xdr:rowOff>9525</xdr:rowOff>
                  </from>
                  <to>
                    <xdr:col>5</xdr:col>
                    <xdr:colOff>9525</xdr:colOff>
                    <xdr:row>23</xdr:row>
                    <xdr:rowOff>57150</xdr:rowOff>
                  </to>
                </anchor>
              </controlPr>
            </control>
          </mc:Choice>
        </mc:AlternateContent>
        <mc:AlternateContent xmlns:mc="http://schemas.openxmlformats.org/markup-compatibility/2006">
          <mc:Choice Requires="x14">
            <control shapeId="4103" r:id="rId5" name="List Box 7">
              <controlPr defaultSize="0" autoLine="0" autoPict="0">
                <anchor moveWithCells="1">
                  <from>
                    <xdr:col>12</xdr:col>
                    <xdr:colOff>0</xdr:colOff>
                    <xdr:row>4</xdr:row>
                    <xdr:rowOff>114300</xdr:rowOff>
                  </from>
                  <to>
                    <xdr:col>17</xdr:col>
                    <xdr:colOff>514350</xdr:colOff>
                    <xdr:row>5</xdr:row>
                    <xdr:rowOff>304800</xdr:rowOff>
                  </to>
                </anchor>
              </controlPr>
            </control>
          </mc:Choice>
        </mc:AlternateContent>
        <mc:AlternateContent xmlns:mc="http://schemas.openxmlformats.org/markup-compatibility/2006">
          <mc:Choice Requires="x14">
            <control shapeId="4107" r:id="rId6" name="Button 11">
              <controlPr defaultSize="0" print="0" autoFill="0" autoPict="0" macro="[0]!Button12_Click">
                <anchor moveWithCells="1" sizeWithCells="1">
                  <from>
                    <xdr:col>12</xdr:col>
                    <xdr:colOff>485775</xdr:colOff>
                    <xdr:row>5</xdr:row>
                    <xdr:rowOff>371475</xdr:rowOff>
                  </from>
                  <to>
                    <xdr:col>16</xdr:col>
                    <xdr:colOff>0</xdr:colOff>
                    <xdr:row>7</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9"/>
  <sheetViews>
    <sheetView workbookViewId="0">
      <selection activeCell="H14" sqref="H14"/>
    </sheetView>
  </sheetViews>
  <sheetFormatPr defaultRowHeight="12.75" x14ac:dyDescent="0.2"/>
  <cols>
    <col min="1" max="1" width="8.28515625" customWidth="1"/>
    <col min="2" max="5" width="7.42578125" bestFit="1" customWidth="1"/>
    <col min="6" max="6" width="8.7109375" bestFit="1" customWidth="1"/>
    <col min="7" max="7" width="8.28515625" customWidth="1"/>
    <col min="8" max="8" width="19.85546875" customWidth="1"/>
    <col min="9" max="9" width="10.42578125" customWidth="1"/>
    <col min="10" max="10" width="13.28515625" customWidth="1"/>
    <col min="11" max="11" width="13.7109375" customWidth="1"/>
    <col min="12" max="12" width="19.28515625" customWidth="1"/>
    <col min="13" max="13" width="11.42578125" customWidth="1"/>
    <col min="14" max="14" width="8" customWidth="1"/>
    <col min="15" max="15" width="11" bestFit="1" customWidth="1"/>
  </cols>
  <sheetData>
    <row r="1" spans="1:18" ht="18" x14ac:dyDescent="0.25">
      <c r="A1" t="s">
        <v>20</v>
      </c>
    </row>
    <row r="2" spans="1:18" x14ac:dyDescent="0.2">
      <c r="A2" t="s">
        <v>21</v>
      </c>
    </row>
    <row r="3" spans="1:18" ht="13.5" thickBot="1" x14ac:dyDescent="0.25">
      <c r="A3" t="s">
        <v>22</v>
      </c>
    </row>
    <row r="4" spans="1:18" ht="27" customHeight="1" thickBot="1" x14ac:dyDescent="0.25">
      <c r="H4" s="152" t="s">
        <v>80</v>
      </c>
      <c r="I4">
        <v>1</v>
      </c>
      <c r="J4" s="66" t="s">
        <v>16</v>
      </c>
      <c r="K4" s="67" t="s">
        <v>47</v>
      </c>
      <c r="L4" s="67" t="s">
        <v>23</v>
      </c>
      <c r="M4" s="68" t="s">
        <v>2</v>
      </c>
      <c r="R4" s="152"/>
    </row>
    <row r="5" spans="1:18" ht="17.25" customHeight="1" thickBot="1" x14ac:dyDescent="0.25">
      <c r="A5" s="3" t="s">
        <v>81</v>
      </c>
      <c r="H5" t="s">
        <v>24</v>
      </c>
      <c r="I5" s="6">
        <v>2</v>
      </c>
      <c r="J5" s="50">
        <f>INDEX(sheet5!I12:I22,N5)</f>
        <v>1.0000000000000001E-9</v>
      </c>
      <c r="K5" s="51">
        <f>INDEX(sheet5!J63:J120,O5)</f>
        <v>1.0000000200234354</v>
      </c>
      <c r="L5" s="52">
        <f>INDEX(sheet5!H26:H59,P5)</f>
        <v>9152000</v>
      </c>
      <c r="M5" s="53">
        <f>INDEX(sheet5!L124:L182,Q5)</f>
        <v>10</v>
      </c>
      <c r="N5" s="6">
        <v>11</v>
      </c>
      <c r="O5" s="6">
        <v>1</v>
      </c>
      <c r="P5" s="6">
        <v>27</v>
      </c>
      <c r="Q5" s="6">
        <v>19</v>
      </c>
    </row>
    <row r="6" spans="1:18" ht="34.5" thickBot="1" x14ac:dyDescent="0.25">
      <c r="A6" s="69" t="s">
        <v>25</v>
      </c>
      <c r="B6" s="70" t="s">
        <v>26</v>
      </c>
      <c r="C6" s="70" t="s">
        <v>27</v>
      </c>
      <c r="D6" s="70" t="s">
        <v>28</v>
      </c>
      <c r="E6" s="70" t="s">
        <v>29</v>
      </c>
      <c r="F6" s="71" t="s">
        <v>30</v>
      </c>
      <c r="G6" s="72" t="s">
        <v>31</v>
      </c>
      <c r="H6" s="73" t="s">
        <v>32</v>
      </c>
      <c r="I6" s="74" t="s">
        <v>33</v>
      </c>
      <c r="J6" s="74" t="s">
        <v>34</v>
      </c>
      <c r="K6" s="74" t="s">
        <v>35</v>
      </c>
      <c r="L6" s="74" t="s">
        <v>36</v>
      </c>
      <c r="M6" s="71" t="s">
        <v>37</v>
      </c>
      <c r="N6" s="75" t="s">
        <v>38</v>
      </c>
    </row>
    <row r="7" spans="1:18" ht="44.25" customHeight="1" thickBot="1" x14ac:dyDescent="0.25">
      <c r="A7" s="10">
        <f ca="1">IF(I5=1,0,A7+1)</f>
        <v>9400</v>
      </c>
      <c r="B7" s="39">
        <f ca="1">IF(A7=0,K5,B7+G7)</f>
        <v>60336330.482261792</v>
      </c>
      <c r="C7" s="45">
        <f ca="1">sheet1!B9/(B7+B7*sheet1!C9)^(2*sheet1!E9)</f>
        <v>24.630806845966134</v>
      </c>
      <c r="D7" s="45">
        <f ca="1">C7*(B7-sheet1!D9)</f>
        <v>1486031761.9029689</v>
      </c>
      <c r="E7" s="45">
        <f ca="1">C7*sheet1!D9</f>
        <v>100740.00000000148</v>
      </c>
      <c r="F7" s="46">
        <f ca="1">(E7-sheet1!G9)*(E7-sheet1!G9)</f>
        <v>2.2031326958084352E-18</v>
      </c>
      <c r="G7" s="83">
        <f ca="1">IF(A7=0,L5,IF(F7&gt;=M7,IF(ABS(G7)&lt;=(J5/M5),G7,(-G7/M5)),G7))</f>
        <v>-9.1520000000000011E-11</v>
      </c>
      <c r="H7" s="40" t="str">
        <f ca="1">IF(A7=0,"Initial state",IF(ABS(G7)&lt;=(J5/M5),"The search is completed!!!","Proceed the search by clicking on the button &lt;F9&gt;"))</f>
        <v>The search is completed!!!</v>
      </c>
      <c r="I7" s="41">
        <f ca="1">IF($A$7=0,0,IF(ABS($G$7)&lt;=(J5/$M$5),I7,B7))</f>
        <v>60336330.482261792</v>
      </c>
      <c r="J7" s="42">
        <f ca="1">IF($A$7=0,0,IF(ABS($G$7)&lt;=(J5/$M$5),J7,C7))</f>
        <v>24.630806845966134</v>
      </c>
      <c r="K7" s="41">
        <f ca="1">IF($A$7=0,0,IF(ABS($G$7)&lt;=(J5/$M$5),K7,D7))</f>
        <v>1486031761.9029689</v>
      </c>
      <c r="L7" s="41">
        <f ca="1">IF($A$7=0,0,IF(ABS($G$7)&lt;=(J5/$M$5),L7,E7))</f>
        <v>100740.00000000148</v>
      </c>
      <c r="M7" s="41">
        <f ca="1">IF($A$7=0,F7,IF(F7&gt;M7,IF(ABS($G$7)&lt;=(J5/$M$5),M7,F7),F7))</f>
        <v>2.2031326958084352E-18</v>
      </c>
      <c r="N7" s="43">
        <f ca="1">IF($A$7=0,0,IF(ABS($G$7)&lt;=(J5/$M$5),N7,A7))</f>
        <v>154</v>
      </c>
    </row>
    <row r="9" spans="1:18" x14ac:dyDescent="0.2">
      <c r="I9" s="156">
        <f ca="1">ABS(I7-sheet1!J13)</f>
        <v>23346932.15196722</v>
      </c>
    </row>
    <row r="14" spans="1:18" x14ac:dyDescent="0.2">
      <c r="I14" s="180"/>
    </row>
    <row r="17" spans="9:11" x14ac:dyDescent="0.2">
      <c r="I17">
        <v>1349</v>
      </c>
      <c r="K17">
        <v>100</v>
      </c>
    </row>
    <row r="18" spans="9:11" x14ac:dyDescent="0.2">
      <c r="I18">
        <v>1000</v>
      </c>
      <c r="J18">
        <f>I18*K17/I17</f>
        <v>74.128984432913271</v>
      </c>
    </row>
    <row r="19" spans="9:11" x14ac:dyDescent="0.2">
      <c r="J19">
        <f>K17-J18</f>
        <v>25.871015567086729</v>
      </c>
      <c r="K19" t="s">
        <v>90</v>
      </c>
    </row>
  </sheetData>
  <phoneticPr fontId="2" type="noConversion"/>
  <conditionalFormatting sqref="A7:F7">
    <cfRule type="expression" dxfId="5" priority="1" stopIfTrue="1">
      <formula>$A$7=0</formula>
    </cfRule>
  </conditionalFormatting>
  <conditionalFormatting sqref="H7:N7">
    <cfRule type="expression" dxfId="4" priority="2" stopIfTrue="1">
      <formula>$A$7=0</formula>
    </cfRule>
    <cfRule type="expression" dxfId="3" priority="3" stopIfTrue="1">
      <formula>$H$7="The search is completed!!!"</formula>
    </cfRule>
  </conditionalFormatting>
  <conditionalFormatting sqref="G7">
    <cfRule type="expression" dxfId="2" priority="4" stopIfTrue="1">
      <formula>$A$7=0</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676275</xdr:colOff>
                    <xdr:row>3</xdr:row>
                    <xdr:rowOff>333375</xdr:rowOff>
                  </from>
                  <to>
                    <xdr:col>10</xdr:col>
                    <xdr:colOff>0</xdr:colOff>
                    <xdr:row>5</xdr:row>
                    <xdr:rowOff>9525</xdr:rowOff>
                  </to>
                </anchor>
              </controlPr>
            </control>
          </mc:Choice>
        </mc:AlternateContent>
        <mc:AlternateContent xmlns:mc="http://schemas.openxmlformats.org/markup-compatibility/2006">
          <mc:Choice Requires="x14">
            <control shapeId="1185" r:id="rId5" name="Drop Down 161">
              <controlPr defaultSize="0" autoLine="0" autoPict="0">
                <anchor moveWithCells="1">
                  <from>
                    <xdr:col>10</xdr:col>
                    <xdr:colOff>19050</xdr:colOff>
                    <xdr:row>4</xdr:row>
                    <xdr:rowOff>0</xdr:rowOff>
                  </from>
                  <to>
                    <xdr:col>11</xdr:col>
                    <xdr:colOff>38100</xdr:colOff>
                    <xdr:row>5</xdr:row>
                    <xdr:rowOff>0</xdr:rowOff>
                  </to>
                </anchor>
              </controlPr>
            </control>
          </mc:Choice>
        </mc:AlternateContent>
        <mc:AlternateContent xmlns:mc="http://schemas.openxmlformats.org/markup-compatibility/2006">
          <mc:Choice Requires="x14">
            <control shapeId="1187" r:id="rId6" name="Drop Down 163">
              <controlPr defaultSize="0" autoLine="0" autoPict="0">
                <anchor moveWithCells="1">
                  <from>
                    <xdr:col>12</xdr:col>
                    <xdr:colOff>9525</xdr:colOff>
                    <xdr:row>3</xdr:row>
                    <xdr:rowOff>333375</xdr:rowOff>
                  </from>
                  <to>
                    <xdr:col>12</xdr:col>
                    <xdr:colOff>752475</xdr:colOff>
                    <xdr:row>5</xdr:row>
                    <xdr:rowOff>9525</xdr:rowOff>
                  </to>
                </anchor>
              </controlPr>
            </control>
          </mc:Choice>
        </mc:AlternateContent>
        <mc:AlternateContent xmlns:mc="http://schemas.openxmlformats.org/markup-compatibility/2006">
          <mc:Choice Requires="x14">
            <control shapeId="1148" r:id="rId7" name="List Box 124">
              <controlPr defaultSize="0" autoLine="0" autoPict="0">
                <anchor>
                  <from>
                    <xdr:col>6</xdr:col>
                    <xdr:colOff>381000</xdr:colOff>
                    <xdr:row>2</xdr:row>
                    <xdr:rowOff>161925</xdr:rowOff>
                  </from>
                  <to>
                    <xdr:col>8</xdr:col>
                    <xdr:colOff>685800</xdr:colOff>
                    <xdr:row>5</xdr:row>
                    <xdr:rowOff>0</xdr:rowOff>
                  </to>
                </anchor>
              </controlPr>
            </control>
          </mc:Choice>
        </mc:AlternateContent>
        <mc:AlternateContent xmlns:mc="http://schemas.openxmlformats.org/markup-compatibility/2006">
          <mc:Choice Requires="x14">
            <control shapeId="1186" r:id="rId8" name="Drop Down 162">
              <controlPr defaultSize="0" autoLine="0" autoPict="0">
                <anchor moveWithCells="1">
                  <from>
                    <xdr:col>11</xdr:col>
                    <xdr:colOff>0</xdr:colOff>
                    <xdr:row>4</xdr:row>
                    <xdr:rowOff>0</xdr:rowOff>
                  </from>
                  <to>
                    <xdr:col>12</xdr:col>
                    <xdr:colOff>0</xdr:colOff>
                    <xdr:row>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182"/>
  <sheetViews>
    <sheetView tabSelected="1" topLeftCell="D31" zoomScaleNormal="100" workbookViewId="0">
      <selection activeCell="Q94" sqref="Q94"/>
    </sheetView>
  </sheetViews>
  <sheetFormatPr defaultRowHeight="12.75" x14ac:dyDescent="0.2"/>
  <cols>
    <col min="1" max="1" width="4.7109375" customWidth="1"/>
    <col min="2" max="2" width="16.140625" customWidth="1"/>
    <col min="3" max="3" width="12.7109375" customWidth="1"/>
    <col min="4" max="6" width="12.5703125" customWidth="1"/>
    <col min="7" max="7" width="11.28515625" customWidth="1"/>
    <col min="8" max="8" width="20.140625" customWidth="1"/>
    <col min="9" max="9" width="12.7109375" customWidth="1"/>
    <col min="10" max="10" width="11.140625" bestFit="1" customWidth="1"/>
    <col min="11" max="11" width="17.42578125" customWidth="1"/>
    <col min="12" max="12" width="11" customWidth="1"/>
  </cols>
  <sheetData>
    <row r="1" spans="1:12" ht="18" x14ac:dyDescent="0.25">
      <c r="A1" t="s">
        <v>20</v>
      </c>
    </row>
    <row r="2" spans="1:12" x14ac:dyDescent="0.2">
      <c r="A2" t="s">
        <v>21</v>
      </c>
    </row>
    <row r="3" spans="1:12" x14ac:dyDescent="0.2">
      <c r="A3" t="s">
        <v>22</v>
      </c>
    </row>
    <row r="4" spans="1:12" ht="15.75" x14ac:dyDescent="0.25">
      <c r="A4" s="76" t="s">
        <v>39</v>
      </c>
    </row>
    <row r="5" spans="1:12" ht="18.75" x14ac:dyDescent="0.25">
      <c r="A5" s="77" t="s">
        <v>40</v>
      </c>
    </row>
    <row r="6" spans="1:12" ht="18.75" x14ac:dyDescent="0.25">
      <c r="A6" s="77" t="s">
        <v>41</v>
      </c>
    </row>
    <row r="7" spans="1:12" ht="15.75" x14ac:dyDescent="0.25">
      <c r="A7" s="77" t="s">
        <v>42</v>
      </c>
    </row>
    <row r="8" spans="1:12" ht="15.75" x14ac:dyDescent="0.25">
      <c r="A8" s="77" t="s">
        <v>43</v>
      </c>
    </row>
    <row r="10" spans="1:12" ht="13.5" thickBot="1" x14ac:dyDescent="0.25">
      <c r="A10" s="78" t="s">
        <v>44</v>
      </c>
      <c r="J10">
        <v>100</v>
      </c>
    </row>
    <row r="11" spans="1:12" ht="51.75" thickBot="1" x14ac:dyDescent="0.25">
      <c r="A11" s="79" t="s">
        <v>1</v>
      </c>
      <c r="B11" s="80" t="s">
        <v>33</v>
      </c>
      <c r="C11" s="80" t="s">
        <v>34</v>
      </c>
      <c r="D11" s="80" t="s">
        <v>35</v>
      </c>
      <c r="E11" s="80" t="s">
        <v>36</v>
      </c>
      <c r="F11" s="81" t="s">
        <v>37</v>
      </c>
      <c r="G11" s="81" t="s">
        <v>45</v>
      </c>
      <c r="H11" s="81" t="s">
        <v>46</v>
      </c>
      <c r="I11" s="80" t="s">
        <v>16</v>
      </c>
      <c r="J11" s="80" t="s">
        <v>47</v>
      </c>
      <c r="K11" s="80" t="s">
        <v>48</v>
      </c>
      <c r="L11" s="82" t="s">
        <v>49</v>
      </c>
    </row>
    <row r="12" spans="1:12" x14ac:dyDescent="0.2">
      <c r="A12" s="16">
        <v>1</v>
      </c>
      <c r="B12" s="17">
        <v>60336331.000000022</v>
      </c>
      <c r="C12" s="18">
        <v>24.630806160419262</v>
      </c>
      <c r="D12" s="18">
        <v>1486031733.2947001</v>
      </c>
      <c r="E12" s="18">
        <v>100739.99719611478</v>
      </c>
      <c r="F12" s="18">
        <v>9.2280158332141703E-9</v>
      </c>
      <c r="G12" s="8">
        <v>1256</v>
      </c>
      <c r="H12" s="9">
        <v>50000</v>
      </c>
      <c r="I12" s="7">
        <v>10</v>
      </c>
      <c r="J12" s="7">
        <v>1</v>
      </c>
      <c r="K12" s="19">
        <f>ABS(J12-$B$22)</f>
        <v>60336329.482261494</v>
      </c>
      <c r="L12" s="20">
        <v>10</v>
      </c>
    </row>
    <row r="13" spans="1:12" x14ac:dyDescent="0.2">
      <c r="A13" s="21">
        <v>2</v>
      </c>
      <c r="B13" s="22">
        <v>60336330.500000022</v>
      </c>
      <c r="C13" s="23">
        <v>24.63080682247859</v>
      </c>
      <c r="D13" s="23">
        <v>1486031760.9228196</v>
      </c>
      <c r="E13" s="23">
        <v>100739.99990393744</v>
      </c>
      <c r="F13" s="23">
        <v>9.2280158332141703E-9</v>
      </c>
      <c r="G13" s="24">
        <v>1268</v>
      </c>
      <c r="H13" s="11">
        <v>50000</v>
      </c>
      <c r="I13" s="4">
        <v>1</v>
      </c>
      <c r="J13" s="4">
        <v>1</v>
      </c>
      <c r="K13" s="24">
        <f t="shared" ref="K13:K59" si="0">ABS(J13-$B$22)</f>
        <v>60336329.482261494</v>
      </c>
      <c r="L13" s="25">
        <v>10</v>
      </c>
    </row>
    <row r="14" spans="1:12" x14ac:dyDescent="0.2">
      <c r="A14" s="21">
        <v>3</v>
      </c>
      <c r="B14" s="22">
        <v>60336330.499999993</v>
      </c>
      <c r="C14" s="23">
        <v>24.63080682247859</v>
      </c>
      <c r="D14" s="23">
        <v>1486031760.9228189</v>
      </c>
      <c r="E14" s="23">
        <v>100739.99990393744</v>
      </c>
      <c r="F14" s="23">
        <v>1.5010436215239562E-10</v>
      </c>
      <c r="G14" s="24">
        <v>1279</v>
      </c>
      <c r="H14" s="11">
        <v>50000</v>
      </c>
      <c r="I14" s="4">
        <v>0.1</v>
      </c>
      <c r="J14" s="4">
        <v>1</v>
      </c>
      <c r="K14" s="24">
        <f t="shared" si="0"/>
        <v>60336329.482261494</v>
      </c>
      <c r="L14" s="25">
        <v>10</v>
      </c>
    </row>
    <row r="15" spans="1:12" x14ac:dyDescent="0.2">
      <c r="A15" s="21">
        <v>4</v>
      </c>
      <c r="B15" s="22">
        <v>60336330.479999952</v>
      </c>
      <c r="C15" s="23">
        <v>24.630806848961299</v>
      </c>
      <c r="D15" s="23">
        <v>1486031762.0279629</v>
      </c>
      <c r="E15" s="23">
        <v>100740.00001225171</v>
      </c>
      <c r="F15" s="23">
        <v>1.6599305448730418E-12</v>
      </c>
      <c r="G15" s="24">
        <v>1294</v>
      </c>
      <c r="H15" s="11">
        <v>50000</v>
      </c>
      <c r="I15" s="4">
        <v>0.01</v>
      </c>
      <c r="J15" s="4">
        <v>1</v>
      </c>
      <c r="K15" s="24">
        <f t="shared" si="0"/>
        <v>60336329.482261494</v>
      </c>
      <c r="L15" s="25">
        <v>10</v>
      </c>
    </row>
    <row r="16" spans="1:12" x14ac:dyDescent="0.2">
      <c r="A16" s="21">
        <v>5</v>
      </c>
      <c r="B16" s="22">
        <v>60336330.482499965</v>
      </c>
      <c r="C16" s="23">
        <v>24.630806845650763</v>
      </c>
      <c r="D16" s="23">
        <v>1486031761.8898082</v>
      </c>
      <c r="E16" s="23">
        <v>100739.99999871162</v>
      </c>
      <c r="F16" s="23">
        <v>4.2500725161431774E-15</v>
      </c>
      <c r="G16" s="24">
        <v>1310</v>
      </c>
      <c r="H16" s="11">
        <v>50000</v>
      </c>
      <c r="I16" s="4">
        <v>1E-3</v>
      </c>
      <c r="J16" s="4">
        <v>1</v>
      </c>
      <c r="K16" s="24">
        <f t="shared" si="0"/>
        <v>60336329.482261494</v>
      </c>
      <c r="L16" s="25">
        <v>10</v>
      </c>
    </row>
    <row r="17" spans="1:12" x14ac:dyDescent="0.2">
      <c r="A17" s="21">
        <v>6</v>
      </c>
      <c r="B17" s="22">
        <v>60336330.482249953</v>
      </c>
      <c r="C17" s="23">
        <v>24.630806845981709</v>
      </c>
      <c r="D17" s="23">
        <v>1486031761.9036169</v>
      </c>
      <c r="E17" s="23">
        <v>100740.00000006519</v>
      </c>
      <c r="F17" s="23">
        <v>1.1627242442783462E-16</v>
      </c>
      <c r="G17" s="24">
        <v>1326</v>
      </c>
      <c r="H17" s="11">
        <v>50000</v>
      </c>
      <c r="I17" s="4">
        <v>1E-4</v>
      </c>
      <c r="J17" s="4">
        <v>1</v>
      </c>
      <c r="K17" s="24">
        <f t="shared" si="0"/>
        <v>60336329.482261494</v>
      </c>
      <c r="L17" s="25">
        <v>10</v>
      </c>
    </row>
    <row r="18" spans="1:12" x14ac:dyDescent="0.2">
      <c r="A18" s="21">
        <v>7</v>
      </c>
      <c r="B18" s="22">
        <v>60336330.482259944</v>
      </c>
      <c r="C18" s="23">
        <v>24.630806845968408</v>
      </c>
      <c r="D18" s="23">
        <v>1486031761.9030604</v>
      </c>
      <c r="E18" s="23">
        <v>100740.00000001078</v>
      </c>
      <c r="F18" s="23">
        <v>5.9482888720933241E-19</v>
      </c>
      <c r="G18" s="24">
        <v>1339</v>
      </c>
      <c r="H18" s="11">
        <v>50000</v>
      </c>
      <c r="I18" s="4">
        <v>1.0000000000000001E-5</v>
      </c>
      <c r="J18" s="4">
        <v>1</v>
      </c>
      <c r="K18" s="24">
        <f t="shared" si="0"/>
        <v>60336329.482261494</v>
      </c>
      <c r="L18" s="25">
        <v>10</v>
      </c>
    </row>
    <row r="19" spans="1:12" x14ac:dyDescent="0.2">
      <c r="A19" s="21">
        <v>8</v>
      </c>
      <c r="B19" s="26">
        <v>60336330.482261948</v>
      </c>
      <c r="C19" s="27">
        <v>24.63080684596596</v>
      </c>
      <c r="D19" s="27">
        <v>1486031761.9029622</v>
      </c>
      <c r="E19" s="27">
        <v>100740.00000000077</v>
      </c>
      <c r="F19" s="27">
        <v>4.2881042954748955E-19</v>
      </c>
      <c r="G19" s="28">
        <v>1346</v>
      </c>
      <c r="H19" s="11">
        <v>50000</v>
      </c>
      <c r="I19" s="4">
        <v>9.9999999999999995E-7</v>
      </c>
      <c r="J19" s="4">
        <v>1</v>
      </c>
      <c r="K19" s="24">
        <f t="shared" si="0"/>
        <v>60336329.482261494</v>
      </c>
      <c r="L19" s="25">
        <v>10</v>
      </c>
    </row>
    <row r="20" spans="1:12" x14ac:dyDescent="0.2">
      <c r="A20" s="21">
        <v>9</v>
      </c>
      <c r="B20" s="22">
        <v>60336330.482261449</v>
      </c>
      <c r="C20" s="23">
        <v>24.630806845966482</v>
      </c>
      <c r="D20" s="23">
        <v>1486031761.9029815</v>
      </c>
      <c r="E20" s="23">
        <v>100740.00000000291</v>
      </c>
      <c r="F20" s="23">
        <v>8.4703294725430034E-18</v>
      </c>
      <c r="G20" s="24">
        <v>1347</v>
      </c>
      <c r="H20" s="11">
        <v>50000</v>
      </c>
      <c r="I20" s="4">
        <v>9.9999999999999995E-8</v>
      </c>
      <c r="J20" s="4">
        <v>1</v>
      </c>
      <c r="K20" s="24">
        <f t="shared" si="0"/>
        <v>60336329.482261494</v>
      </c>
      <c r="L20" s="25">
        <v>10</v>
      </c>
    </row>
    <row r="21" spans="1:12" x14ac:dyDescent="0.2">
      <c r="A21" s="21">
        <v>10</v>
      </c>
      <c r="B21" s="22">
        <v>60336330.482261501</v>
      </c>
      <c r="C21" s="23">
        <v>24.630806845966482</v>
      </c>
      <c r="D21" s="23">
        <v>1486031761.9029827</v>
      </c>
      <c r="E21" s="23">
        <v>100740.00000000291</v>
      </c>
      <c r="F21" s="23">
        <v>8.4703294725430034E-18</v>
      </c>
      <c r="G21" s="24">
        <v>1348</v>
      </c>
      <c r="H21" s="11">
        <v>50000</v>
      </c>
      <c r="I21" s="4">
        <v>1E-8</v>
      </c>
      <c r="J21" s="4">
        <v>1</v>
      </c>
      <c r="K21" s="24">
        <f t="shared" si="0"/>
        <v>60336329.482261494</v>
      </c>
      <c r="L21" s="25">
        <v>10</v>
      </c>
    </row>
    <row r="22" spans="1:12" ht="13.5" thickBot="1" x14ac:dyDescent="0.25">
      <c r="A22" s="29">
        <v>11</v>
      </c>
      <c r="B22" s="30">
        <v>60336330.482261494</v>
      </c>
      <c r="C22" s="31">
        <v>24.630806845966482</v>
      </c>
      <c r="D22" s="31">
        <v>1486031761.9029825</v>
      </c>
      <c r="E22" s="31">
        <v>100740.00000000291</v>
      </c>
      <c r="F22" s="31">
        <v>8.4703294725430034E-18</v>
      </c>
      <c r="G22" s="32">
        <v>1349</v>
      </c>
      <c r="H22" s="44">
        <v>50000</v>
      </c>
      <c r="I22" s="5">
        <v>1.0000000000000001E-9</v>
      </c>
      <c r="J22" s="5">
        <v>1</v>
      </c>
      <c r="K22" s="32">
        <f t="shared" si="0"/>
        <v>60336329.482261494</v>
      </c>
      <c r="L22" s="33">
        <v>10</v>
      </c>
    </row>
    <row r="24" spans="1:12" ht="15" thickBot="1" x14ac:dyDescent="0.25">
      <c r="A24" s="78" t="s">
        <v>50</v>
      </c>
      <c r="I24" s="134">
        <v>2000</v>
      </c>
      <c r="J24" s="173">
        <v>5000</v>
      </c>
    </row>
    <row r="25" spans="1:12" ht="51.75" thickBot="1" x14ac:dyDescent="0.25">
      <c r="A25" s="79" t="s">
        <v>1</v>
      </c>
      <c r="B25" s="80" t="s">
        <v>33</v>
      </c>
      <c r="C25" s="80" t="s">
        <v>34</v>
      </c>
      <c r="D25" s="80" t="s">
        <v>35</v>
      </c>
      <c r="E25" s="80" t="s">
        <v>36</v>
      </c>
      <c r="F25" s="81" t="s">
        <v>37</v>
      </c>
      <c r="G25" s="81" t="s">
        <v>45</v>
      </c>
      <c r="H25" s="81" t="s">
        <v>46</v>
      </c>
      <c r="I25" s="80" t="s">
        <v>16</v>
      </c>
      <c r="J25" s="80" t="s">
        <v>47</v>
      </c>
      <c r="K25" s="80" t="s">
        <v>48</v>
      </c>
      <c r="L25" s="82" t="s">
        <v>49</v>
      </c>
    </row>
    <row r="26" spans="1:12" x14ac:dyDescent="0.2">
      <c r="A26" s="16">
        <v>1</v>
      </c>
      <c r="B26" s="34">
        <v>60336330.482261494</v>
      </c>
      <c r="C26" s="35">
        <v>24.630806845966482</v>
      </c>
      <c r="D26" s="35">
        <v>1486031761.9029825</v>
      </c>
      <c r="E26" s="35">
        <v>100740.00000000291</v>
      </c>
      <c r="F26" s="35">
        <v>8.4703294725430034E-18</v>
      </c>
      <c r="G26" s="19">
        <v>1349</v>
      </c>
      <c r="H26" s="170">
        <v>9100000</v>
      </c>
      <c r="I26" s="7">
        <v>1.0000000000000001E-9</v>
      </c>
      <c r="J26" s="7">
        <v>1</v>
      </c>
      <c r="K26" s="19">
        <f t="shared" si="0"/>
        <v>60336329.482261494</v>
      </c>
      <c r="L26" s="20">
        <v>10</v>
      </c>
    </row>
    <row r="27" spans="1:12" x14ac:dyDescent="0.2">
      <c r="A27" s="21">
        <v>2</v>
      </c>
      <c r="B27" s="22">
        <v>60336330.482261315</v>
      </c>
      <c r="C27" s="23">
        <v>24.630806845966834</v>
      </c>
      <c r="D27" s="23">
        <v>1486031761.9029994</v>
      </c>
      <c r="E27" s="23">
        <v>100740.00000000435</v>
      </c>
      <c r="F27" s="23">
        <v>1.8931398129370426E-17</v>
      </c>
      <c r="G27" s="24">
        <v>1219</v>
      </c>
      <c r="H27" s="171">
        <f>H26+$I$24</f>
        <v>9102000</v>
      </c>
      <c r="I27" s="4">
        <v>1.0000000000000001E-9</v>
      </c>
      <c r="J27" s="4">
        <v>1</v>
      </c>
      <c r="K27" s="24">
        <f t="shared" si="0"/>
        <v>60336329.482261494</v>
      </c>
      <c r="L27" s="25">
        <v>10</v>
      </c>
    </row>
    <row r="28" spans="1:12" x14ac:dyDescent="0.2">
      <c r="A28" s="21">
        <v>3</v>
      </c>
      <c r="B28" s="22">
        <v>60336330.482261278</v>
      </c>
      <c r="C28" s="23">
        <v>24.630806845966834</v>
      </c>
      <c r="D28" s="23">
        <v>1486031761.9029984</v>
      </c>
      <c r="E28" s="23">
        <v>100740.00000000435</v>
      </c>
      <c r="F28" s="23">
        <v>1.8931398129370426E-17</v>
      </c>
      <c r="G28" s="24">
        <v>1136</v>
      </c>
      <c r="H28" s="171">
        <f t="shared" ref="H28:H59" si="1">H27+$I$24</f>
        <v>9104000</v>
      </c>
      <c r="I28" s="4">
        <v>1.0000000000000001E-9</v>
      </c>
      <c r="J28" s="4">
        <v>1</v>
      </c>
      <c r="K28" s="24">
        <f t="shared" si="0"/>
        <v>60336329.482261494</v>
      </c>
      <c r="L28" s="25">
        <v>10</v>
      </c>
    </row>
    <row r="29" spans="1:12" x14ac:dyDescent="0.2">
      <c r="A29" s="21">
        <v>4</v>
      </c>
      <c r="B29" s="22">
        <v>60336330.482261412</v>
      </c>
      <c r="C29" s="23">
        <v>24.630806845966834</v>
      </c>
      <c r="D29" s="23">
        <v>1486031761.9030018</v>
      </c>
      <c r="E29" s="23">
        <v>100740.00000000435</v>
      </c>
      <c r="F29" s="23">
        <v>1.8931398129370426E-17</v>
      </c>
      <c r="G29" s="24">
        <v>1041</v>
      </c>
      <c r="H29" s="171">
        <f t="shared" si="1"/>
        <v>9106000</v>
      </c>
      <c r="I29" s="4">
        <v>1.0000000000000001E-9</v>
      </c>
      <c r="J29" s="4">
        <v>1</v>
      </c>
      <c r="K29" s="24">
        <f t="shared" si="0"/>
        <v>60336329.482261494</v>
      </c>
      <c r="L29" s="25">
        <v>10</v>
      </c>
    </row>
    <row r="30" spans="1:12" x14ac:dyDescent="0.2">
      <c r="A30" s="21">
        <v>5</v>
      </c>
      <c r="B30" s="22">
        <v>60336330.482261069</v>
      </c>
      <c r="C30" s="23">
        <v>24.630806845967008</v>
      </c>
      <c r="D30" s="23">
        <v>1486031761.9030039</v>
      </c>
      <c r="E30" s="23">
        <v>100740.00000000506</v>
      </c>
      <c r="F30" s="23">
        <v>2.5644769511071197E-17</v>
      </c>
      <c r="G30" s="24">
        <v>1001</v>
      </c>
      <c r="H30" s="171">
        <f t="shared" si="1"/>
        <v>9108000</v>
      </c>
      <c r="I30" s="4">
        <v>1.0000000000000001E-9</v>
      </c>
      <c r="J30" s="4">
        <v>1</v>
      </c>
      <c r="K30" s="24">
        <f t="shared" si="0"/>
        <v>60336329.482261494</v>
      </c>
      <c r="L30" s="25">
        <v>10</v>
      </c>
    </row>
    <row r="31" spans="1:12" x14ac:dyDescent="0.2">
      <c r="A31" s="21">
        <v>6</v>
      </c>
      <c r="B31" s="22">
        <v>60336330.482261643</v>
      </c>
      <c r="C31" s="23">
        <v>24.630806845966482</v>
      </c>
      <c r="D31" s="23">
        <v>1486031761.9029863</v>
      </c>
      <c r="E31" s="23">
        <v>100740.00000000291</v>
      </c>
      <c r="F31" s="23">
        <v>8.4703294725430034E-18</v>
      </c>
      <c r="G31" s="24">
        <v>922</v>
      </c>
      <c r="H31" s="171">
        <f t="shared" si="1"/>
        <v>9110000</v>
      </c>
      <c r="I31" s="4">
        <v>1.0000000000000001E-9</v>
      </c>
      <c r="J31" s="4">
        <v>1</v>
      </c>
      <c r="K31" s="24">
        <f t="shared" si="0"/>
        <v>60336329.482261494</v>
      </c>
      <c r="L31" s="25">
        <v>10</v>
      </c>
    </row>
    <row r="32" spans="1:12" x14ac:dyDescent="0.2">
      <c r="A32" s="21">
        <v>7</v>
      </c>
      <c r="B32" s="22">
        <v>60336330.482260972</v>
      </c>
      <c r="C32" s="23">
        <v>24.630806845967356</v>
      </c>
      <c r="D32" s="23">
        <v>1486031761.9030225</v>
      </c>
      <c r="E32" s="23">
        <v>100740.00000000649</v>
      </c>
      <c r="F32" s="23">
        <v>4.2122101434009102E-17</v>
      </c>
      <c r="G32" s="24">
        <v>886</v>
      </c>
      <c r="H32" s="171">
        <f t="shared" si="1"/>
        <v>9112000</v>
      </c>
      <c r="I32" s="4">
        <v>1.0000000000000001E-9</v>
      </c>
      <c r="J32" s="4">
        <v>1</v>
      </c>
      <c r="K32" s="24">
        <f t="shared" si="0"/>
        <v>60336329.482261494</v>
      </c>
      <c r="L32" s="25">
        <v>10</v>
      </c>
    </row>
    <row r="33" spans="1:12" x14ac:dyDescent="0.2">
      <c r="A33" s="21">
        <v>8</v>
      </c>
      <c r="B33" s="22">
        <v>60336330.482260942</v>
      </c>
      <c r="C33" s="23">
        <v>24.630806845967356</v>
      </c>
      <c r="D33" s="23">
        <v>1486031761.9030218</v>
      </c>
      <c r="E33" s="23">
        <v>100740.00000000649</v>
      </c>
      <c r="F33" s="23">
        <v>4.2122101434009102E-17</v>
      </c>
      <c r="G33" s="24">
        <v>841</v>
      </c>
      <c r="H33" s="171">
        <f t="shared" si="1"/>
        <v>9114000</v>
      </c>
      <c r="I33" s="4">
        <v>1.0000000000000001E-9</v>
      </c>
      <c r="J33" s="4">
        <v>1</v>
      </c>
      <c r="K33" s="24">
        <f t="shared" si="0"/>
        <v>60336329.482261494</v>
      </c>
      <c r="L33" s="25">
        <v>10</v>
      </c>
    </row>
    <row r="34" spans="1:12" x14ac:dyDescent="0.2">
      <c r="A34" s="21">
        <v>9</v>
      </c>
      <c r="B34" s="22">
        <v>60336330.482261091</v>
      </c>
      <c r="C34" s="23">
        <v>24.630806845967008</v>
      </c>
      <c r="D34" s="23">
        <v>1486031761.9030044</v>
      </c>
      <c r="E34" s="23">
        <v>100740.00000000506</v>
      </c>
      <c r="F34" s="23">
        <v>2.5644769511071197E-17</v>
      </c>
      <c r="G34" s="24">
        <v>785</v>
      </c>
      <c r="H34" s="171">
        <f t="shared" si="1"/>
        <v>9116000</v>
      </c>
      <c r="I34" s="4">
        <v>1.0000000000000001E-9</v>
      </c>
      <c r="J34" s="4">
        <v>1</v>
      </c>
      <c r="K34" s="24">
        <f t="shared" si="0"/>
        <v>60336329.482261494</v>
      </c>
      <c r="L34" s="25">
        <v>10</v>
      </c>
    </row>
    <row r="35" spans="1:12" x14ac:dyDescent="0.2">
      <c r="A35" s="21">
        <v>10</v>
      </c>
      <c r="B35" s="22">
        <v>60336330.482260995</v>
      </c>
      <c r="C35" s="23">
        <v>24.630806845967356</v>
      </c>
      <c r="D35" s="23">
        <v>1486031761.903023</v>
      </c>
      <c r="E35" s="23">
        <v>100740.00000000649</v>
      </c>
      <c r="F35" s="23">
        <v>4.2122101434009102E-17</v>
      </c>
      <c r="G35" s="24">
        <v>770</v>
      </c>
      <c r="H35" s="171">
        <f t="shared" si="1"/>
        <v>9118000</v>
      </c>
      <c r="I35" s="4">
        <v>1.0000000000000001E-9</v>
      </c>
      <c r="J35" s="4">
        <v>1</v>
      </c>
      <c r="K35" s="24">
        <f t="shared" si="0"/>
        <v>60336329.482261494</v>
      </c>
      <c r="L35" s="25">
        <v>10</v>
      </c>
    </row>
    <row r="36" spans="1:12" x14ac:dyDescent="0.2">
      <c r="A36" s="21">
        <v>11</v>
      </c>
      <c r="B36" s="22">
        <v>60336330.482261181</v>
      </c>
      <c r="C36" s="23">
        <v>24.630806845967008</v>
      </c>
      <c r="D36" s="23">
        <v>1486031761.9030066</v>
      </c>
      <c r="E36" s="23">
        <v>100740.00000000506</v>
      </c>
      <c r="F36" s="23">
        <v>2.5644769511071197E-17</v>
      </c>
      <c r="G36" s="24">
        <v>720</v>
      </c>
      <c r="H36" s="171">
        <f t="shared" si="1"/>
        <v>9120000</v>
      </c>
      <c r="I36" s="4">
        <v>1.0000000000000001E-9</v>
      </c>
      <c r="J36" s="4">
        <v>1</v>
      </c>
      <c r="K36" s="24">
        <f t="shared" si="0"/>
        <v>60336329.482261494</v>
      </c>
      <c r="L36" s="25">
        <v>10</v>
      </c>
    </row>
    <row r="37" spans="1:12" x14ac:dyDescent="0.2">
      <c r="A37" s="21">
        <v>12</v>
      </c>
      <c r="B37" s="22">
        <v>60336330.482261561</v>
      </c>
      <c r="C37" s="23">
        <v>24.630806845966482</v>
      </c>
      <c r="D37" s="23">
        <v>1486031761.9029841</v>
      </c>
      <c r="E37" s="23">
        <v>100740.00000000291</v>
      </c>
      <c r="F37" s="23">
        <v>8.4703294725430034E-18</v>
      </c>
      <c r="G37" s="24">
        <v>688</v>
      </c>
      <c r="H37" s="171">
        <f t="shared" si="1"/>
        <v>9122000</v>
      </c>
      <c r="I37" s="4">
        <v>1.0000000000000001E-9</v>
      </c>
      <c r="J37" s="4">
        <v>1</v>
      </c>
      <c r="K37" s="24">
        <f t="shared" si="0"/>
        <v>60336329.482261494</v>
      </c>
      <c r="L37" s="25">
        <v>10</v>
      </c>
    </row>
    <row r="38" spans="1:12" x14ac:dyDescent="0.2">
      <c r="A38" s="21">
        <v>13</v>
      </c>
      <c r="B38" s="22">
        <v>60336330.482260764</v>
      </c>
      <c r="C38" s="23">
        <v>24.630806845967534</v>
      </c>
      <c r="D38" s="23">
        <v>1486031761.903028</v>
      </c>
      <c r="E38" s="23">
        <v>100740.00000000722</v>
      </c>
      <c r="F38" s="23">
        <v>5.2095914387928488E-17</v>
      </c>
      <c r="G38" s="24">
        <v>678</v>
      </c>
      <c r="H38" s="171">
        <f t="shared" si="1"/>
        <v>9124000</v>
      </c>
      <c r="I38" s="4">
        <v>1.0000000000000001E-9</v>
      </c>
      <c r="J38" s="4">
        <v>1</v>
      </c>
      <c r="K38" s="24">
        <f t="shared" si="0"/>
        <v>60336329.482261494</v>
      </c>
      <c r="L38" s="25">
        <v>10</v>
      </c>
    </row>
    <row r="39" spans="1:12" x14ac:dyDescent="0.2">
      <c r="A39" s="21">
        <v>14</v>
      </c>
      <c r="B39" s="22">
        <v>60336330.482261606</v>
      </c>
      <c r="C39" s="23">
        <v>24.630806845966482</v>
      </c>
      <c r="D39" s="23">
        <v>1486031761.9029853</v>
      </c>
      <c r="E39" s="23">
        <v>100740.00000000291</v>
      </c>
      <c r="F39" s="23">
        <v>8.4703294725430034E-18</v>
      </c>
      <c r="G39" s="24">
        <v>660</v>
      </c>
      <c r="H39" s="171">
        <f t="shared" si="1"/>
        <v>9126000</v>
      </c>
      <c r="I39" s="4">
        <v>1.0000000000000001E-9</v>
      </c>
      <c r="J39" s="4">
        <v>1</v>
      </c>
      <c r="K39" s="24">
        <f t="shared" si="0"/>
        <v>60336329.482261494</v>
      </c>
      <c r="L39" s="25">
        <v>10</v>
      </c>
    </row>
    <row r="40" spans="1:12" x14ac:dyDescent="0.2">
      <c r="A40" s="21">
        <v>15</v>
      </c>
      <c r="B40" s="22">
        <v>60336330.482261397</v>
      </c>
      <c r="C40" s="23">
        <v>24.630806845966834</v>
      </c>
      <c r="D40" s="23">
        <v>1486031761.9030013</v>
      </c>
      <c r="E40" s="23">
        <v>100740.00000000435</v>
      </c>
      <c r="F40" s="23">
        <v>1.8931398129370426E-17</v>
      </c>
      <c r="G40" s="24">
        <v>615</v>
      </c>
      <c r="H40" s="171">
        <f t="shared" si="1"/>
        <v>9128000</v>
      </c>
      <c r="I40" s="4">
        <v>1.0000000000000001E-9</v>
      </c>
      <c r="J40" s="4">
        <v>1</v>
      </c>
      <c r="K40" s="24">
        <f t="shared" si="0"/>
        <v>60336329.482261494</v>
      </c>
      <c r="L40" s="25">
        <v>10</v>
      </c>
    </row>
    <row r="41" spans="1:12" x14ac:dyDescent="0.2">
      <c r="A41" s="21">
        <v>16</v>
      </c>
      <c r="B41" s="22">
        <v>60336330.482261367</v>
      </c>
      <c r="C41" s="23">
        <v>24.630806845966834</v>
      </c>
      <c r="D41" s="23">
        <v>1486031761.9030006</v>
      </c>
      <c r="E41" s="23">
        <v>100740.00000000435</v>
      </c>
      <c r="F41" s="23">
        <v>1.8931398129370426E-17</v>
      </c>
      <c r="G41" s="24">
        <v>597</v>
      </c>
      <c r="H41" s="171">
        <f t="shared" si="1"/>
        <v>9130000</v>
      </c>
      <c r="I41" s="4">
        <v>1.0000000000000001E-9</v>
      </c>
      <c r="J41" s="4">
        <v>1</v>
      </c>
      <c r="K41" s="24">
        <f t="shared" si="0"/>
        <v>60336329.482261494</v>
      </c>
      <c r="L41" s="25">
        <v>10</v>
      </c>
    </row>
    <row r="42" spans="1:12" x14ac:dyDescent="0.2">
      <c r="A42" s="21">
        <v>17</v>
      </c>
      <c r="B42" s="22">
        <v>60336330.482260287</v>
      </c>
      <c r="C42" s="23">
        <v>24.630806845968234</v>
      </c>
      <c r="D42" s="23">
        <v>1486031761.9030585</v>
      </c>
      <c r="E42" s="23">
        <v>100740.00000001007</v>
      </c>
      <c r="F42" s="23">
        <v>1.0140339631349582E-16</v>
      </c>
      <c r="G42" s="24">
        <v>584</v>
      </c>
      <c r="H42" s="171">
        <f t="shared" si="1"/>
        <v>9132000</v>
      </c>
      <c r="I42" s="4">
        <v>1.0000000000000001E-9</v>
      </c>
      <c r="J42" s="4">
        <v>1</v>
      </c>
      <c r="K42" s="24">
        <f t="shared" si="0"/>
        <v>60336329.482261494</v>
      </c>
      <c r="L42" s="25">
        <v>10</v>
      </c>
    </row>
    <row r="43" spans="1:12" x14ac:dyDescent="0.2">
      <c r="A43" s="21">
        <v>18</v>
      </c>
      <c r="B43" s="22">
        <v>60336330.482260756</v>
      </c>
      <c r="C43" s="23">
        <v>24.630806845967534</v>
      </c>
      <c r="D43" s="23">
        <v>1486031761.9030278</v>
      </c>
      <c r="E43" s="23">
        <v>100740.00000000722</v>
      </c>
      <c r="F43" s="23">
        <v>5.2095914387928488E-17</v>
      </c>
      <c r="G43" s="24">
        <v>588</v>
      </c>
      <c r="H43" s="171">
        <f t="shared" si="1"/>
        <v>9134000</v>
      </c>
      <c r="I43" s="4">
        <v>1.0000000000000001E-9</v>
      </c>
      <c r="J43" s="4">
        <v>1</v>
      </c>
      <c r="K43" s="24">
        <f t="shared" si="0"/>
        <v>60336329.482261494</v>
      </c>
      <c r="L43" s="25">
        <v>10</v>
      </c>
    </row>
    <row r="44" spans="1:12" x14ac:dyDescent="0.2">
      <c r="A44" s="21">
        <v>19</v>
      </c>
      <c r="B44" s="22">
        <v>60336330.482261389</v>
      </c>
      <c r="C44" s="23">
        <v>24.630806845966834</v>
      </c>
      <c r="D44" s="23">
        <v>1486031761.9030013</v>
      </c>
      <c r="E44" s="23">
        <v>100740.00000000435</v>
      </c>
      <c r="F44" s="23">
        <v>1.8931398129370426E-17</v>
      </c>
      <c r="G44" s="24">
        <v>564</v>
      </c>
      <c r="H44" s="171">
        <f t="shared" si="1"/>
        <v>9136000</v>
      </c>
      <c r="I44" s="4">
        <v>1.0000000000000001E-9</v>
      </c>
      <c r="J44" s="4">
        <v>1</v>
      </c>
      <c r="K44" s="24">
        <f t="shared" si="0"/>
        <v>60336329.482261494</v>
      </c>
      <c r="L44" s="25">
        <v>10</v>
      </c>
    </row>
    <row r="45" spans="1:12" x14ac:dyDescent="0.2">
      <c r="A45" s="21">
        <v>20</v>
      </c>
      <c r="B45" s="22">
        <v>60336330.482261196</v>
      </c>
      <c r="C45" s="23">
        <v>24.630806845967008</v>
      </c>
      <c r="D45" s="23">
        <v>1486031761.903007</v>
      </c>
      <c r="E45" s="23">
        <v>100740.00000000506</v>
      </c>
      <c r="F45" s="23">
        <v>2.5644769511071197E-17</v>
      </c>
      <c r="G45" s="24">
        <v>528</v>
      </c>
      <c r="H45" s="171">
        <f t="shared" si="1"/>
        <v>9138000</v>
      </c>
      <c r="I45" s="4">
        <v>1.0000000000000001E-9</v>
      </c>
      <c r="J45" s="4">
        <v>1</v>
      </c>
      <c r="K45" s="24">
        <f t="shared" si="0"/>
        <v>60336329.482261494</v>
      </c>
      <c r="L45" s="25">
        <v>10</v>
      </c>
    </row>
    <row r="46" spans="1:12" x14ac:dyDescent="0.2">
      <c r="A46" s="21">
        <v>21</v>
      </c>
      <c r="B46" s="22">
        <v>60336330.482260294</v>
      </c>
      <c r="C46" s="23">
        <v>24.630806845968234</v>
      </c>
      <c r="D46" s="23">
        <v>1486031761.9030588</v>
      </c>
      <c r="E46" s="23">
        <v>100740.00000001007</v>
      </c>
      <c r="F46" s="23">
        <v>1.0140339631349582E-16</v>
      </c>
      <c r="G46" s="24">
        <v>542</v>
      </c>
      <c r="H46" s="171">
        <f t="shared" si="1"/>
        <v>9140000</v>
      </c>
      <c r="I46" s="4">
        <v>1.0000000000000001E-9</v>
      </c>
      <c r="J46" s="4">
        <v>1</v>
      </c>
      <c r="K46" s="24">
        <f t="shared" si="0"/>
        <v>60336329.482261494</v>
      </c>
      <c r="L46" s="25">
        <v>10</v>
      </c>
    </row>
    <row r="47" spans="1:12" x14ac:dyDescent="0.2">
      <c r="A47" s="21">
        <v>22</v>
      </c>
      <c r="B47" s="22">
        <v>60336330.482261598</v>
      </c>
      <c r="C47" s="23">
        <v>24.630806845966482</v>
      </c>
      <c r="D47" s="23">
        <v>1486031761.9029851</v>
      </c>
      <c r="E47" s="23">
        <v>100740.00000000291</v>
      </c>
      <c r="F47" s="23">
        <v>8.4703294725430034E-18</v>
      </c>
      <c r="G47" s="24">
        <v>505</v>
      </c>
      <c r="H47" s="171">
        <f t="shared" si="1"/>
        <v>9142000</v>
      </c>
      <c r="I47" s="4">
        <v>1.0000000000000001E-9</v>
      </c>
      <c r="J47" s="4">
        <v>1</v>
      </c>
      <c r="K47" s="24">
        <f t="shared" si="0"/>
        <v>60336329.482261494</v>
      </c>
      <c r="L47" s="25">
        <v>10</v>
      </c>
    </row>
    <row r="48" spans="1:12" x14ac:dyDescent="0.2">
      <c r="A48" s="21">
        <v>23</v>
      </c>
      <c r="B48" s="22">
        <v>60336330.482260957</v>
      </c>
      <c r="C48" s="23">
        <v>24.630806845967356</v>
      </c>
      <c r="D48" s="23">
        <v>1486031761.9030221</v>
      </c>
      <c r="E48" s="23">
        <v>100740.00000000649</v>
      </c>
      <c r="F48" s="23">
        <v>4.2122101434009102E-17</v>
      </c>
      <c r="G48" s="24">
        <v>490</v>
      </c>
      <c r="H48" s="171">
        <f t="shared" si="1"/>
        <v>9144000</v>
      </c>
      <c r="I48" s="4">
        <v>1.0000000000000001E-9</v>
      </c>
      <c r="J48" s="4">
        <v>1</v>
      </c>
      <c r="K48" s="24">
        <f t="shared" si="0"/>
        <v>60336329.482261494</v>
      </c>
      <c r="L48" s="25">
        <v>10</v>
      </c>
    </row>
    <row r="49" spans="1:12" x14ac:dyDescent="0.2">
      <c r="A49" s="21">
        <v>24</v>
      </c>
      <c r="B49" s="22">
        <v>60336330.482260317</v>
      </c>
      <c r="C49" s="23">
        <v>24.630806845968234</v>
      </c>
      <c r="D49" s="23">
        <v>1486031761.9030592</v>
      </c>
      <c r="E49" s="23">
        <v>100740.00000001007</v>
      </c>
      <c r="F49" s="23">
        <v>1.0140339631349582E-16</v>
      </c>
      <c r="G49" s="24">
        <v>479</v>
      </c>
      <c r="H49" s="171">
        <f t="shared" si="1"/>
        <v>9146000</v>
      </c>
      <c r="I49" s="4">
        <v>1.0000000000000001E-9</v>
      </c>
      <c r="J49" s="4">
        <v>1</v>
      </c>
      <c r="K49" s="24">
        <f t="shared" si="0"/>
        <v>60336329.482261494</v>
      </c>
      <c r="L49" s="25">
        <v>10</v>
      </c>
    </row>
    <row r="50" spans="1:12" x14ac:dyDescent="0.2">
      <c r="A50" s="21">
        <v>25</v>
      </c>
      <c r="B50" s="22">
        <v>60336330.48226162</v>
      </c>
      <c r="C50" s="23">
        <v>24.630806845966482</v>
      </c>
      <c r="D50" s="23">
        <v>1486031761.9029856</v>
      </c>
      <c r="E50" s="23">
        <v>100740.00000000291</v>
      </c>
      <c r="F50" s="23">
        <v>8.4703294725430034E-18</v>
      </c>
      <c r="G50" s="24">
        <v>475</v>
      </c>
      <c r="H50" s="171">
        <f t="shared" si="1"/>
        <v>9148000</v>
      </c>
      <c r="I50" s="4">
        <v>1.0000000000000001E-9</v>
      </c>
      <c r="J50" s="4">
        <v>1</v>
      </c>
      <c r="K50" s="24">
        <f t="shared" si="0"/>
        <v>60336329.482261494</v>
      </c>
      <c r="L50" s="25">
        <v>10</v>
      </c>
    </row>
    <row r="51" spans="1:12" x14ac:dyDescent="0.2">
      <c r="A51" s="21">
        <v>26</v>
      </c>
      <c r="B51" s="22">
        <v>60336330.482261196</v>
      </c>
      <c r="C51" s="23">
        <v>24.630806845967008</v>
      </c>
      <c r="D51" s="23">
        <v>1486031761.903007</v>
      </c>
      <c r="E51" s="23">
        <v>100740.00000000506</v>
      </c>
      <c r="F51" s="23">
        <v>2.5644769511071197E-17</v>
      </c>
      <c r="G51" s="24">
        <v>462</v>
      </c>
      <c r="H51" s="171">
        <f t="shared" si="1"/>
        <v>9150000</v>
      </c>
      <c r="I51" s="4">
        <v>1.0000000000000001E-9</v>
      </c>
      <c r="J51" s="4">
        <v>1</v>
      </c>
      <c r="K51" s="24">
        <f t="shared" si="0"/>
        <v>60336329.482261494</v>
      </c>
      <c r="L51" s="25">
        <v>10</v>
      </c>
    </row>
    <row r="52" spans="1:12" x14ac:dyDescent="0.2">
      <c r="A52" s="21">
        <v>27</v>
      </c>
      <c r="B52" s="22">
        <v>60336330.482260749</v>
      </c>
      <c r="C52" s="23">
        <v>24.630806845967534</v>
      </c>
      <c r="D52" s="23">
        <v>1486031761.9030275</v>
      </c>
      <c r="E52" s="23">
        <v>100740.00000000722</v>
      </c>
      <c r="F52" s="23">
        <v>5.2095914387928488E-17</v>
      </c>
      <c r="G52" s="24">
        <v>447</v>
      </c>
      <c r="H52" s="171">
        <f t="shared" si="1"/>
        <v>9152000</v>
      </c>
      <c r="I52" s="4">
        <v>1.0000000000000001E-9</v>
      </c>
      <c r="J52" s="4">
        <v>1</v>
      </c>
      <c r="K52" s="24">
        <f t="shared" si="0"/>
        <v>60336329.482261494</v>
      </c>
      <c r="L52" s="25">
        <v>10</v>
      </c>
    </row>
    <row r="53" spans="1:12" x14ac:dyDescent="0.2">
      <c r="A53" s="21">
        <v>28</v>
      </c>
      <c r="B53" s="22">
        <v>60336330.482260749</v>
      </c>
      <c r="C53" s="23">
        <v>24.630806845967534</v>
      </c>
      <c r="D53" s="23">
        <v>1486031761.9030275</v>
      </c>
      <c r="E53" s="23">
        <v>100740.00000000722</v>
      </c>
      <c r="F53" s="23">
        <v>5.2095914387928488E-17</v>
      </c>
      <c r="G53" s="24">
        <v>447</v>
      </c>
      <c r="H53" s="171">
        <f t="shared" si="1"/>
        <v>9154000</v>
      </c>
      <c r="I53" s="4">
        <v>1.0000000000000001E-9</v>
      </c>
      <c r="J53" s="4">
        <v>1</v>
      </c>
      <c r="K53" s="24">
        <f t="shared" si="0"/>
        <v>60336329.482261494</v>
      </c>
      <c r="L53" s="25">
        <v>10</v>
      </c>
    </row>
    <row r="54" spans="1:12" x14ac:dyDescent="0.2">
      <c r="A54" s="21">
        <v>29</v>
      </c>
      <c r="B54" s="22">
        <v>60336330.482260965</v>
      </c>
      <c r="C54" s="23">
        <v>24.630806845967356</v>
      </c>
      <c r="D54" s="23">
        <v>1486031761.9030223</v>
      </c>
      <c r="E54" s="23">
        <v>100740.00000000649</v>
      </c>
      <c r="F54" s="23">
        <v>4.2122101434009102E-17</v>
      </c>
      <c r="G54" s="24">
        <v>430</v>
      </c>
      <c r="H54" s="171">
        <f t="shared" si="1"/>
        <v>9156000</v>
      </c>
      <c r="I54" s="4">
        <v>1.0000000000000001E-9</v>
      </c>
      <c r="J54" s="4">
        <v>1</v>
      </c>
      <c r="K54" s="24">
        <f t="shared" si="0"/>
        <v>60336329.482261494</v>
      </c>
      <c r="L54" s="25">
        <v>10</v>
      </c>
    </row>
    <row r="55" spans="1:12" x14ac:dyDescent="0.2">
      <c r="A55" s="21">
        <v>30</v>
      </c>
      <c r="B55" s="22">
        <v>60336330.482260555</v>
      </c>
      <c r="C55" s="23">
        <v>24.630806845967886</v>
      </c>
      <c r="D55" s="23">
        <v>1486031761.903044</v>
      </c>
      <c r="E55" s="23">
        <v>100740.00000000866</v>
      </c>
      <c r="F55" s="23">
        <v>7.4967709787925919E-17</v>
      </c>
      <c r="G55" s="24">
        <v>440</v>
      </c>
      <c r="H55" s="171">
        <f t="shared" si="1"/>
        <v>9158000</v>
      </c>
      <c r="I55" s="4">
        <v>1.0000000000000001E-9</v>
      </c>
      <c r="J55" s="4">
        <v>1</v>
      </c>
      <c r="K55" s="24">
        <f t="shared" si="0"/>
        <v>60336329.482261494</v>
      </c>
      <c r="L55" s="25">
        <v>10</v>
      </c>
    </row>
    <row r="56" spans="1:12" x14ac:dyDescent="0.2">
      <c r="A56" s="21">
        <v>31</v>
      </c>
      <c r="B56" s="22">
        <v>60336330.482260324</v>
      </c>
      <c r="C56" s="23">
        <v>24.630806845968234</v>
      </c>
      <c r="D56" s="23">
        <v>1486031761.9030595</v>
      </c>
      <c r="E56" s="23">
        <v>100740.00000001007</v>
      </c>
      <c r="F56" s="23">
        <v>1.0140339631349582E-16</v>
      </c>
      <c r="G56" s="24">
        <v>413</v>
      </c>
      <c r="H56" s="171">
        <f t="shared" si="1"/>
        <v>9160000</v>
      </c>
      <c r="I56" s="4">
        <v>1.0000000000000001E-9</v>
      </c>
      <c r="J56" s="4">
        <v>1</v>
      </c>
      <c r="K56" s="24">
        <f t="shared" si="0"/>
        <v>60336329.482261494</v>
      </c>
      <c r="L56" s="25">
        <v>10</v>
      </c>
    </row>
    <row r="57" spans="1:12" x14ac:dyDescent="0.2">
      <c r="A57" s="21">
        <v>32</v>
      </c>
      <c r="B57" s="22">
        <v>60336330.482262313</v>
      </c>
      <c r="C57" s="23">
        <v>24.63080684596526</v>
      </c>
      <c r="D57" s="23">
        <v>1486031761.9029291</v>
      </c>
      <c r="E57" s="23">
        <v>100739.99999999792</v>
      </c>
      <c r="F57" s="23">
        <v>4.3302441846007969E-18</v>
      </c>
      <c r="G57" s="24">
        <v>416</v>
      </c>
      <c r="H57" s="171">
        <f t="shared" si="1"/>
        <v>9162000</v>
      </c>
      <c r="I57" s="4">
        <v>1.0000000000000001E-9</v>
      </c>
      <c r="J57" s="4">
        <v>1</v>
      </c>
      <c r="K57" s="24">
        <f t="shared" si="0"/>
        <v>60336329.482261494</v>
      </c>
      <c r="L57" s="25">
        <v>10</v>
      </c>
    </row>
    <row r="58" spans="1:12" x14ac:dyDescent="0.2">
      <c r="A58" s="21">
        <v>33</v>
      </c>
      <c r="B58" s="22">
        <v>60336330.482262403</v>
      </c>
      <c r="C58" s="23">
        <v>24.63080684596526</v>
      </c>
      <c r="D58" s="23">
        <v>1486031761.9029312</v>
      </c>
      <c r="E58" s="23">
        <v>100739.99999999792</v>
      </c>
      <c r="F58" s="23">
        <v>4.3302441846007969E-18</v>
      </c>
      <c r="G58" s="24">
        <v>437</v>
      </c>
      <c r="H58" s="171">
        <f t="shared" si="1"/>
        <v>9164000</v>
      </c>
      <c r="I58" s="4">
        <v>1.0000000000000001E-9</v>
      </c>
      <c r="J58" s="4">
        <v>1</v>
      </c>
      <c r="K58" s="24">
        <f t="shared" si="0"/>
        <v>60336329.482261494</v>
      </c>
      <c r="L58" s="25">
        <v>10</v>
      </c>
    </row>
    <row r="59" spans="1:12" ht="13.5" thickBot="1" x14ac:dyDescent="0.25">
      <c r="A59" s="29">
        <v>34</v>
      </c>
      <c r="B59" s="30">
        <v>60336330.482262455</v>
      </c>
      <c r="C59" s="31">
        <v>24.63080684596526</v>
      </c>
      <c r="D59" s="31">
        <v>1486031761.9029324</v>
      </c>
      <c r="E59" s="31">
        <v>100739.99999999792</v>
      </c>
      <c r="F59" s="31">
        <v>4.3302441846007969E-18</v>
      </c>
      <c r="G59" s="32">
        <v>441</v>
      </c>
      <c r="H59" s="172">
        <f t="shared" si="1"/>
        <v>9166000</v>
      </c>
      <c r="I59" s="5">
        <v>1.0000000000000001E-9</v>
      </c>
      <c r="J59" s="5">
        <v>1</v>
      </c>
      <c r="K59" s="32">
        <f t="shared" si="0"/>
        <v>60336329.482261494</v>
      </c>
      <c r="L59" s="33">
        <v>10</v>
      </c>
    </row>
    <row r="60" spans="1:12" ht="13.5" thickBot="1" x14ac:dyDescent="0.25"/>
    <row r="61" spans="1:12" ht="13.5" thickBot="1" x14ac:dyDescent="0.25">
      <c r="A61" s="78" t="s">
        <v>51</v>
      </c>
      <c r="J61" s="151">
        <v>2011210.98274207</v>
      </c>
    </row>
    <row r="62" spans="1:12" ht="51.75" thickBot="1" x14ac:dyDescent="0.25">
      <c r="A62" s="79" t="s">
        <v>1</v>
      </c>
      <c r="B62" s="80" t="s">
        <v>33</v>
      </c>
      <c r="C62" s="80" t="s">
        <v>34</v>
      </c>
      <c r="D62" s="80" t="s">
        <v>35</v>
      </c>
      <c r="E62" s="80" t="s">
        <v>36</v>
      </c>
      <c r="F62" s="81" t="s">
        <v>37</v>
      </c>
      <c r="G62" s="81" t="s">
        <v>45</v>
      </c>
      <c r="H62" s="81" t="s">
        <v>46</v>
      </c>
      <c r="I62" s="80" t="s">
        <v>16</v>
      </c>
      <c r="J62" s="80" t="s">
        <v>47</v>
      </c>
      <c r="K62" s="80" t="s">
        <v>48</v>
      </c>
      <c r="L62" s="82" t="s">
        <v>49</v>
      </c>
    </row>
    <row r="63" spans="1:12" x14ac:dyDescent="0.2">
      <c r="A63" s="16">
        <v>1</v>
      </c>
      <c r="B63" s="34">
        <v>60336330.482261494</v>
      </c>
      <c r="C63" s="35">
        <v>24.630806845966482</v>
      </c>
      <c r="D63" s="35">
        <v>1486031761.9029825</v>
      </c>
      <c r="E63" s="35">
        <v>100740.00000000291</v>
      </c>
      <c r="F63" s="35">
        <v>8.4703294725430034E-18</v>
      </c>
      <c r="G63" s="19">
        <v>1349</v>
      </c>
      <c r="H63" s="9">
        <v>50000</v>
      </c>
      <c r="I63" s="7">
        <v>1.0000000000000001E-9</v>
      </c>
      <c r="J63" s="9">
        <f t="shared" ref="J63:J92" si="2">J64-$J$61</f>
        <v>1.0000000200234354</v>
      </c>
      <c r="K63" s="19">
        <f t="shared" ref="K63:K80" si="3">ABS(J63-$B$120)</f>
        <v>60336329.482261531</v>
      </c>
      <c r="L63" s="20">
        <v>10</v>
      </c>
    </row>
    <row r="64" spans="1:12" x14ac:dyDescent="0.2">
      <c r="A64" s="21">
        <v>2</v>
      </c>
      <c r="B64" s="22">
        <v>60336330.482261568</v>
      </c>
      <c r="C64" s="23">
        <v>24.630806845966482</v>
      </c>
      <c r="D64" s="23">
        <v>1486031761.9029844</v>
      </c>
      <c r="E64" s="23">
        <v>100740.00000000291</v>
      </c>
      <c r="F64" s="23">
        <v>8.4703294725430034E-18</v>
      </c>
      <c r="G64" s="24">
        <v>1304</v>
      </c>
      <c r="H64" s="11">
        <v>50000</v>
      </c>
      <c r="I64" s="4">
        <v>1.0000000000000001E-9</v>
      </c>
      <c r="J64" s="11">
        <f t="shared" si="2"/>
        <v>2011211.98274209</v>
      </c>
      <c r="K64" s="24">
        <f t="shared" si="3"/>
        <v>58325118.49951946</v>
      </c>
      <c r="L64" s="25">
        <v>10</v>
      </c>
    </row>
    <row r="65" spans="1:12" x14ac:dyDescent="0.2">
      <c r="A65" s="21">
        <v>3</v>
      </c>
      <c r="B65" s="22">
        <v>60336330.48226171</v>
      </c>
      <c r="C65" s="23">
        <v>24.630806845966134</v>
      </c>
      <c r="D65" s="23">
        <v>1486031761.902967</v>
      </c>
      <c r="E65" s="23">
        <v>100740.00000000148</v>
      </c>
      <c r="F65" s="23">
        <v>2.2031326958084352E-18</v>
      </c>
      <c r="G65" s="24">
        <v>1260</v>
      </c>
      <c r="H65" s="11">
        <v>50000</v>
      </c>
      <c r="I65" s="4">
        <v>1.0000000000000001E-9</v>
      </c>
      <c r="J65" s="11">
        <f t="shared" si="2"/>
        <v>4022422.96548416</v>
      </c>
      <c r="K65" s="24">
        <f t="shared" si="3"/>
        <v>56313907.516777396</v>
      </c>
      <c r="L65" s="25">
        <v>10</v>
      </c>
    </row>
    <row r="66" spans="1:12" x14ac:dyDescent="0.2">
      <c r="A66" s="21">
        <v>4</v>
      </c>
      <c r="B66" s="22">
        <v>60336330.482261702</v>
      </c>
      <c r="C66" s="23">
        <v>24.630806845966134</v>
      </c>
      <c r="D66" s="23">
        <v>1486031761.9029667</v>
      </c>
      <c r="E66" s="23">
        <v>100740.00000000148</v>
      </c>
      <c r="F66" s="23">
        <v>2.2031326958084352E-18</v>
      </c>
      <c r="G66" s="24">
        <v>1192</v>
      </c>
      <c r="H66" s="11">
        <v>50000</v>
      </c>
      <c r="I66" s="4">
        <v>1.0000000000000001E-9</v>
      </c>
      <c r="J66" s="11">
        <f t="shared" si="2"/>
        <v>6033633.9482262302</v>
      </c>
      <c r="K66" s="24">
        <f t="shared" si="3"/>
        <v>54302696.534035325</v>
      </c>
      <c r="L66" s="25">
        <v>10</v>
      </c>
    </row>
    <row r="67" spans="1:12" x14ac:dyDescent="0.2">
      <c r="A67" s="21">
        <v>5</v>
      </c>
      <c r="B67" s="22">
        <v>60336330.482261784</v>
      </c>
      <c r="C67" s="23">
        <v>24.630806845966134</v>
      </c>
      <c r="D67" s="23">
        <v>1486031761.9029686</v>
      </c>
      <c r="E67" s="23">
        <v>100740.00000000148</v>
      </c>
      <c r="F67" s="23">
        <v>2.2031326958084352E-18</v>
      </c>
      <c r="G67" s="24">
        <v>1180</v>
      </c>
      <c r="H67" s="11">
        <v>50000</v>
      </c>
      <c r="I67" s="4">
        <v>1.0000000000000001E-9</v>
      </c>
      <c r="J67" s="11">
        <f t="shared" si="2"/>
        <v>8044844.9309683004</v>
      </c>
      <c r="K67" s="24">
        <f t="shared" si="3"/>
        <v>52291485.551293254</v>
      </c>
      <c r="L67" s="25">
        <v>10</v>
      </c>
    </row>
    <row r="68" spans="1:12" x14ac:dyDescent="0.2">
      <c r="A68" s="21">
        <v>6</v>
      </c>
      <c r="B68" s="22">
        <v>60336330.48226136</v>
      </c>
      <c r="C68" s="23">
        <v>24.630806845966834</v>
      </c>
      <c r="D68" s="23">
        <v>1486031761.9030004</v>
      </c>
      <c r="E68" s="23">
        <v>100740.00000000435</v>
      </c>
      <c r="F68" s="23">
        <v>1.8931398129370426E-17</v>
      </c>
      <c r="G68" s="24">
        <v>1136</v>
      </c>
      <c r="H68" s="11">
        <v>50000</v>
      </c>
      <c r="I68" s="4">
        <v>1.0000000000000001E-9</v>
      </c>
      <c r="J68" s="11">
        <f t="shared" si="2"/>
        <v>10056055.913710371</v>
      </c>
      <c r="K68" s="24">
        <f t="shared" si="3"/>
        <v>50280274.568551183</v>
      </c>
      <c r="L68" s="25">
        <v>10</v>
      </c>
    </row>
    <row r="69" spans="1:12" x14ac:dyDescent="0.2">
      <c r="A69" s="21">
        <v>7</v>
      </c>
      <c r="B69" s="22">
        <v>60336330.482261412</v>
      </c>
      <c r="C69" s="23">
        <v>24.630806845966834</v>
      </c>
      <c r="D69" s="23">
        <v>1486031761.9030018</v>
      </c>
      <c r="E69" s="23">
        <v>100740.00000000435</v>
      </c>
      <c r="F69" s="23">
        <v>1.8931398129370426E-17</v>
      </c>
      <c r="G69" s="24">
        <v>1102</v>
      </c>
      <c r="H69" s="11">
        <v>50000</v>
      </c>
      <c r="I69" s="4">
        <v>1.0000000000000001E-9</v>
      </c>
      <c r="J69" s="11">
        <f t="shared" si="2"/>
        <v>12067266.89645244</v>
      </c>
      <c r="K69" s="24">
        <f t="shared" si="3"/>
        <v>48269063.585809112</v>
      </c>
      <c r="L69" s="25">
        <v>10</v>
      </c>
    </row>
    <row r="70" spans="1:12" x14ac:dyDescent="0.2">
      <c r="A70" s="21">
        <v>8</v>
      </c>
      <c r="B70" s="22">
        <v>60336330.482261494</v>
      </c>
      <c r="C70" s="23">
        <v>24.630806845966482</v>
      </c>
      <c r="D70" s="23">
        <v>1486031761.9029825</v>
      </c>
      <c r="E70" s="23">
        <v>100740.00000000291</v>
      </c>
      <c r="F70" s="23">
        <v>8.4703294725430034E-18</v>
      </c>
      <c r="G70" s="24">
        <v>1057</v>
      </c>
      <c r="H70" s="11">
        <v>50000</v>
      </c>
      <c r="I70" s="4">
        <v>1.0000000000000001E-9</v>
      </c>
      <c r="J70" s="11">
        <f t="shared" si="2"/>
        <v>14078477.879194509</v>
      </c>
      <c r="K70" s="24">
        <f t="shared" si="3"/>
        <v>46257852.60306704</v>
      </c>
      <c r="L70" s="25">
        <v>10</v>
      </c>
    </row>
    <row r="71" spans="1:12" x14ac:dyDescent="0.2">
      <c r="A71" s="21">
        <v>9</v>
      </c>
      <c r="B71" s="22">
        <v>60336330.482261568</v>
      </c>
      <c r="C71" s="23">
        <v>24.630806845966482</v>
      </c>
      <c r="D71" s="23">
        <v>1486031761.9029844</v>
      </c>
      <c r="E71" s="23">
        <v>100740.00000000291</v>
      </c>
      <c r="F71" s="23">
        <v>8.4703294725430034E-18</v>
      </c>
      <c r="G71" s="24">
        <v>1001</v>
      </c>
      <c r="H71" s="11">
        <v>50000</v>
      </c>
      <c r="I71" s="4">
        <v>1.0000000000000001E-9</v>
      </c>
      <c r="J71" s="11">
        <f t="shared" si="2"/>
        <v>16089688.861936579</v>
      </c>
      <c r="K71" s="24">
        <f t="shared" si="3"/>
        <v>44246641.620324977</v>
      </c>
      <c r="L71" s="25">
        <v>10</v>
      </c>
    </row>
    <row r="72" spans="1:12" x14ac:dyDescent="0.2">
      <c r="A72" s="21">
        <v>10</v>
      </c>
      <c r="B72" s="22">
        <v>60336330.48226162</v>
      </c>
      <c r="C72" s="23">
        <v>24.630806845966482</v>
      </c>
      <c r="D72" s="23">
        <v>1486031761.9029856</v>
      </c>
      <c r="E72" s="23">
        <v>100740.00000000291</v>
      </c>
      <c r="F72" s="23">
        <v>8.4703294725430034E-18</v>
      </c>
      <c r="G72" s="24">
        <v>967</v>
      </c>
      <c r="H72" s="11">
        <v>50000</v>
      </c>
      <c r="I72" s="4">
        <v>1.0000000000000001E-9</v>
      </c>
      <c r="J72" s="11">
        <f t="shared" si="2"/>
        <v>18100899.844678648</v>
      </c>
      <c r="K72" s="24">
        <f t="shared" si="3"/>
        <v>42235430.637582906</v>
      </c>
      <c r="L72" s="25">
        <v>10</v>
      </c>
    </row>
    <row r="73" spans="1:12" x14ac:dyDescent="0.2">
      <c r="A73" s="21">
        <v>11</v>
      </c>
      <c r="B73" s="22">
        <v>60336330.482261747</v>
      </c>
      <c r="C73" s="23">
        <v>24.630806845966134</v>
      </c>
      <c r="D73" s="23">
        <v>1486031761.9029677</v>
      </c>
      <c r="E73" s="23">
        <v>100740.00000000148</v>
      </c>
      <c r="F73" s="23">
        <v>2.2031326958084352E-18</v>
      </c>
      <c r="G73" s="24">
        <v>923</v>
      </c>
      <c r="H73" s="11">
        <v>50000</v>
      </c>
      <c r="I73" s="4">
        <v>1.0000000000000001E-9</v>
      </c>
      <c r="J73" s="11">
        <f t="shared" si="2"/>
        <v>20112110.827420719</v>
      </c>
      <c r="K73" s="24">
        <f t="shared" si="3"/>
        <v>40224219.654840834</v>
      </c>
      <c r="L73" s="25">
        <v>10</v>
      </c>
    </row>
    <row r="74" spans="1:12" x14ac:dyDescent="0.2">
      <c r="A74" s="21">
        <v>12</v>
      </c>
      <c r="B74" s="22">
        <v>60336330.482261784</v>
      </c>
      <c r="C74" s="23">
        <v>24.630806845966134</v>
      </c>
      <c r="D74" s="23">
        <v>1486031761.9029686</v>
      </c>
      <c r="E74" s="23">
        <v>100740.00000000148</v>
      </c>
      <c r="F74" s="23">
        <v>2.2031326958084352E-18</v>
      </c>
      <c r="G74" s="24">
        <v>888</v>
      </c>
      <c r="H74" s="11">
        <v>50000</v>
      </c>
      <c r="I74" s="4">
        <v>1.0000000000000001E-9</v>
      </c>
      <c r="J74" s="11">
        <f t="shared" si="2"/>
        <v>22123321.81016279</v>
      </c>
      <c r="K74" s="24">
        <f t="shared" si="3"/>
        <v>38213008.672098763</v>
      </c>
      <c r="L74" s="25">
        <v>10</v>
      </c>
    </row>
    <row r="75" spans="1:12" x14ac:dyDescent="0.2">
      <c r="A75" s="21">
        <v>13</v>
      </c>
      <c r="B75" s="22">
        <v>60336330.482261822</v>
      </c>
      <c r="C75" s="23">
        <v>24.630806845966134</v>
      </c>
      <c r="D75" s="23">
        <v>1486031761.9029696</v>
      </c>
      <c r="E75" s="23">
        <v>100740.00000000148</v>
      </c>
      <c r="F75" s="23">
        <v>2.2031326958084352E-18</v>
      </c>
      <c r="G75" s="24">
        <v>865</v>
      </c>
      <c r="H75" s="11">
        <v>50000</v>
      </c>
      <c r="I75" s="4">
        <v>1.0000000000000001E-9</v>
      </c>
      <c r="J75" s="11">
        <f t="shared" si="2"/>
        <v>24134532.792904861</v>
      </c>
      <c r="K75" s="24">
        <f t="shared" si="3"/>
        <v>36201797.689356692</v>
      </c>
      <c r="L75" s="25">
        <v>10</v>
      </c>
    </row>
    <row r="76" spans="1:12" x14ac:dyDescent="0.2">
      <c r="A76" s="21">
        <v>14</v>
      </c>
      <c r="B76" s="22">
        <v>60336330.482261412</v>
      </c>
      <c r="C76" s="23">
        <v>24.630806845966834</v>
      </c>
      <c r="D76" s="23">
        <v>1486031761.9030018</v>
      </c>
      <c r="E76" s="23">
        <v>100740.00000000435</v>
      </c>
      <c r="F76" s="23">
        <v>1.8931398129370426E-17</v>
      </c>
      <c r="G76" s="24">
        <v>810</v>
      </c>
      <c r="H76" s="11">
        <v>50000</v>
      </c>
      <c r="I76" s="4">
        <v>1.0000000000000001E-9</v>
      </c>
      <c r="J76" s="11">
        <f t="shared" si="2"/>
        <v>26145743.775646932</v>
      </c>
      <c r="K76" s="24">
        <f t="shared" si="3"/>
        <v>34190586.706614621</v>
      </c>
      <c r="L76" s="25">
        <v>10</v>
      </c>
    </row>
    <row r="77" spans="1:12" x14ac:dyDescent="0.2">
      <c r="A77" s="21">
        <v>15</v>
      </c>
      <c r="B77" s="22">
        <v>60336330.482261539</v>
      </c>
      <c r="C77" s="23">
        <v>24.630806845966482</v>
      </c>
      <c r="D77" s="23">
        <v>1486031761.9029837</v>
      </c>
      <c r="E77" s="23">
        <v>100740.00000000291</v>
      </c>
      <c r="F77" s="23">
        <v>8.4703294725430034E-18</v>
      </c>
      <c r="G77" s="24">
        <v>777</v>
      </c>
      <c r="H77" s="11">
        <v>50000</v>
      </c>
      <c r="I77" s="4">
        <v>1.0000000000000001E-9</v>
      </c>
      <c r="J77" s="11">
        <f t="shared" si="2"/>
        <v>28156954.758389004</v>
      </c>
      <c r="K77" s="24">
        <f t="shared" si="3"/>
        <v>32179375.72387255</v>
      </c>
      <c r="L77" s="25">
        <v>10</v>
      </c>
    </row>
    <row r="78" spans="1:12" x14ac:dyDescent="0.2">
      <c r="A78" s="21">
        <v>16</v>
      </c>
      <c r="B78" s="22">
        <v>60336330.482261546</v>
      </c>
      <c r="C78" s="23">
        <v>24.630806845966482</v>
      </c>
      <c r="D78" s="23">
        <v>1486031761.9029839</v>
      </c>
      <c r="E78" s="23">
        <v>100740.00000000291</v>
      </c>
      <c r="F78" s="23">
        <v>8.4703294725430034E-18</v>
      </c>
      <c r="G78" s="24">
        <v>720</v>
      </c>
      <c r="H78" s="11">
        <v>50000</v>
      </c>
      <c r="I78" s="4">
        <v>1.0000000000000001E-9</v>
      </c>
      <c r="J78" s="11">
        <f t="shared" si="2"/>
        <v>30168165.741131075</v>
      </c>
      <c r="K78" s="24">
        <f t="shared" si="3"/>
        <v>30168164.741130479</v>
      </c>
      <c r="L78" s="25">
        <v>10</v>
      </c>
    </row>
    <row r="79" spans="1:12" x14ac:dyDescent="0.2">
      <c r="A79" s="21">
        <v>17</v>
      </c>
      <c r="B79" s="22">
        <v>60336330.482261702</v>
      </c>
      <c r="C79" s="23">
        <v>24.630806845966134</v>
      </c>
      <c r="D79" s="23">
        <v>1486031761.9029667</v>
      </c>
      <c r="E79" s="23">
        <v>100740.00000000148</v>
      </c>
      <c r="F79" s="23">
        <v>2.2031326958084352E-18</v>
      </c>
      <c r="G79" s="24">
        <v>687</v>
      </c>
      <c r="H79" s="11">
        <v>50000</v>
      </c>
      <c r="I79" s="4">
        <v>1.0000000000000001E-9</v>
      </c>
      <c r="J79" s="11">
        <f t="shared" si="2"/>
        <v>32179376.723873146</v>
      </c>
      <c r="K79" s="24">
        <f t="shared" si="3"/>
        <v>28156953.758388408</v>
      </c>
      <c r="L79" s="25">
        <v>10</v>
      </c>
    </row>
    <row r="80" spans="1:12" x14ac:dyDescent="0.2">
      <c r="A80" s="21">
        <v>18</v>
      </c>
      <c r="B80" s="22">
        <v>60336330.482261702</v>
      </c>
      <c r="C80" s="23">
        <v>24.630806845966134</v>
      </c>
      <c r="D80" s="23">
        <v>1486031761.9029667</v>
      </c>
      <c r="E80" s="23">
        <v>100740.00000000148</v>
      </c>
      <c r="F80" s="23">
        <v>2.2031326958084352E-18</v>
      </c>
      <c r="G80" s="24">
        <v>641</v>
      </c>
      <c r="H80" s="11">
        <v>50000</v>
      </c>
      <c r="I80" s="4">
        <v>1.0000000000000001E-9</v>
      </c>
      <c r="J80" s="11">
        <f t="shared" si="2"/>
        <v>34190587.706615217</v>
      </c>
      <c r="K80" s="24">
        <f t="shared" si="3"/>
        <v>26145742.775646336</v>
      </c>
      <c r="L80" s="25">
        <v>10</v>
      </c>
    </row>
    <row r="81" spans="1:12" x14ac:dyDescent="0.2">
      <c r="A81" s="21">
        <v>19</v>
      </c>
      <c r="B81" s="22">
        <v>60336330.482261777</v>
      </c>
      <c r="C81" s="23">
        <v>24.630806845966134</v>
      </c>
      <c r="D81" s="23">
        <v>1486031761.9029684</v>
      </c>
      <c r="E81" s="23">
        <v>100740.00000000148</v>
      </c>
      <c r="F81" s="23">
        <v>2.2031326958084352E-18</v>
      </c>
      <c r="G81" s="24">
        <v>596</v>
      </c>
      <c r="H81" s="11">
        <v>50000</v>
      </c>
      <c r="I81" s="4">
        <v>1.0000000000000001E-9</v>
      </c>
      <c r="J81" s="11">
        <f t="shared" si="2"/>
        <v>36201798.689357288</v>
      </c>
      <c r="K81" s="24">
        <f t="shared" ref="K81:K120" si="4">ABS(J81-$B$120)</f>
        <v>24134531.792904265</v>
      </c>
      <c r="L81" s="25">
        <v>10</v>
      </c>
    </row>
    <row r="82" spans="1:12" x14ac:dyDescent="0.2">
      <c r="A82" s="21">
        <v>20</v>
      </c>
      <c r="B82" s="22">
        <v>60336330.482261367</v>
      </c>
      <c r="C82" s="23">
        <v>24.630806845966834</v>
      </c>
      <c r="D82" s="23">
        <v>1486031761.9030006</v>
      </c>
      <c r="E82" s="23">
        <v>100740.00000000435</v>
      </c>
      <c r="F82" s="23">
        <v>1.8931398129370426E-17</v>
      </c>
      <c r="G82" s="24">
        <v>563</v>
      </c>
      <c r="H82" s="11">
        <v>50000</v>
      </c>
      <c r="I82" s="4">
        <v>1.0000000000000001E-9</v>
      </c>
      <c r="J82" s="11">
        <f t="shared" si="2"/>
        <v>38213009.672099359</v>
      </c>
      <c r="K82" s="24">
        <f t="shared" si="4"/>
        <v>22123320.810162194</v>
      </c>
      <c r="L82" s="25">
        <v>10</v>
      </c>
    </row>
    <row r="83" spans="1:12" x14ac:dyDescent="0.2">
      <c r="A83" s="21">
        <v>21</v>
      </c>
      <c r="B83" s="22">
        <v>60336330.482261412</v>
      </c>
      <c r="C83" s="23">
        <v>24.630806845966834</v>
      </c>
      <c r="D83" s="23">
        <v>1486031761.9030018</v>
      </c>
      <c r="E83" s="23">
        <v>100740.00000000435</v>
      </c>
      <c r="F83" s="23">
        <v>1.8931398129370426E-17</v>
      </c>
      <c r="G83" s="24">
        <v>540</v>
      </c>
      <c r="H83" s="11">
        <v>50000</v>
      </c>
      <c r="I83" s="4">
        <v>1.0000000000000001E-9</v>
      </c>
      <c r="J83" s="11">
        <f t="shared" si="2"/>
        <v>40224220.65484143</v>
      </c>
      <c r="K83" s="24">
        <f t="shared" si="4"/>
        <v>20112109.827420123</v>
      </c>
      <c r="L83" s="25">
        <v>10</v>
      </c>
    </row>
    <row r="84" spans="1:12" x14ac:dyDescent="0.2">
      <c r="A84" s="21">
        <v>22</v>
      </c>
      <c r="B84" s="22">
        <v>60336330.482261501</v>
      </c>
      <c r="C84" s="23">
        <v>24.630806845966482</v>
      </c>
      <c r="D84" s="23">
        <v>1486031761.9029827</v>
      </c>
      <c r="E84" s="23">
        <v>100740.00000000291</v>
      </c>
      <c r="F84" s="23">
        <v>8.4703294725430034E-18</v>
      </c>
      <c r="G84" s="24">
        <v>484</v>
      </c>
      <c r="H84" s="11">
        <v>50000</v>
      </c>
      <c r="I84" s="4">
        <v>1.0000000000000001E-9</v>
      </c>
      <c r="J84" s="11">
        <f t="shared" si="2"/>
        <v>42235431.637583502</v>
      </c>
      <c r="K84" s="24">
        <f t="shared" si="4"/>
        <v>18100898.844678052</v>
      </c>
      <c r="L84" s="25">
        <v>10</v>
      </c>
    </row>
    <row r="85" spans="1:12" x14ac:dyDescent="0.2">
      <c r="A85" s="21">
        <v>23</v>
      </c>
      <c r="B85" s="22">
        <v>60336330.482261576</v>
      </c>
      <c r="C85" s="23">
        <v>24.630806845966482</v>
      </c>
      <c r="D85" s="23">
        <v>1486031761.9029846</v>
      </c>
      <c r="E85" s="23">
        <v>100740.00000000291</v>
      </c>
      <c r="F85" s="23">
        <v>8.4703294725430034E-18</v>
      </c>
      <c r="G85" s="24">
        <v>439</v>
      </c>
      <c r="H85" s="11">
        <v>50000</v>
      </c>
      <c r="I85" s="4">
        <v>1.0000000000000001E-9</v>
      </c>
      <c r="J85" s="11">
        <f t="shared" si="2"/>
        <v>44246642.620325573</v>
      </c>
      <c r="K85" s="24">
        <f t="shared" si="4"/>
        <v>16089687.861935981</v>
      </c>
      <c r="L85" s="25">
        <v>10</v>
      </c>
    </row>
    <row r="86" spans="1:12" x14ac:dyDescent="0.2">
      <c r="A86" s="21">
        <v>24</v>
      </c>
      <c r="B86" s="22">
        <v>60336330.482261628</v>
      </c>
      <c r="C86" s="23">
        <v>24.630806845966482</v>
      </c>
      <c r="D86" s="23">
        <v>1486031761.9029858</v>
      </c>
      <c r="E86" s="23">
        <v>100740.00000000291</v>
      </c>
      <c r="F86" s="23">
        <v>8.4703294725430034E-18</v>
      </c>
      <c r="G86" s="24">
        <v>394</v>
      </c>
      <c r="H86" s="11">
        <v>50000</v>
      </c>
      <c r="I86" s="4">
        <v>1.0000000000000001E-9</v>
      </c>
      <c r="J86" s="11">
        <f t="shared" si="2"/>
        <v>46257853.603067644</v>
      </c>
      <c r="K86" s="24">
        <f t="shared" si="4"/>
        <v>14078476.879193909</v>
      </c>
      <c r="L86" s="25">
        <v>10</v>
      </c>
    </row>
    <row r="87" spans="1:12" x14ac:dyDescent="0.2">
      <c r="A87" s="21">
        <v>25</v>
      </c>
      <c r="B87" s="22">
        <v>60336330.482261702</v>
      </c>
      <c r="C87" s="23">
        <v>24.630806845966134</v>
      </c>
      <c r="D87" s="23">
        <v>1486031761.9029667</v>
      </c>
      <c r="E87" s="23">
        <v>100740.00000000148</v>
      </c>
      <c r="F87" s="23">
        <v>2.2031326958084352E-18</v>
      </c>
      <c r="G87" s="24">
        <v>371</v>
      </c>
      <c r="H87" s="11">
        <v>50000</v>
      </c>
      <c r="I87" s="4">
        <v>1.0000000000000001E-9</v>
      </c>
      <c r="J87" s="11">
        <f t="shared" si="2"/>
        <v>48269064.585809715</v>
      </c>
      <c r="K87" s="24">
        <f t="shared" si="4"/>
        <v>12067265.896451838</v>
      </c>
      <c r="L87" s="25">
        <v>10</v>
      </c>
    </row>
    <row r="88" spans="1:12" x14ac:dyDescent="0.2">
      <c r="A88" s="21">
        <v>26</v>
      </c>
      <c r="B88" s="22">
        <v>60336330.482261784</v>
      </c>
      <c r="C88" s="23">
        <v>24.630806845966134</v>
      </c>
      <c r="D88" s="23">
        <v>1486031761.9029686</v>
      </c>
      <c r="E88" s="23">
        <v>100740.00000000148</v>
      </c>
      <c r="F88" s="23">
        <v>2.2031326958084352E-18</v>
      </c>
      <c r="G88" s="24">
        <v>315</v>
      </c>
      <c r="H88" s="11">
        <v>50000</v>
      </c>
      <c r="I88" s="4">
        <v>1.0000000000000001E-9</v>
      </c>
      <c r="J88" s="11">
        <f t="shared" si="2"/>
        <v>50280275.568551786</v>
      </c>
      <c r="K88" s="24">
        <f t="shared" si="4"/>
        <v>10056054.913709767</v>
      </c>
      <c r="L88" s="25">
        <v>10</v>
      </c>
    </row>
    <row r="89" spans="1:12" x14ac:dyDescent="0.2">
      <c r="A89" s="21">
        <v>27</v>
      </c>
      <c r="B89" s="22">
        <v>60336330.482261337</v>
      </c>
      <c r="C89" s="23">
        <v>24.630806845966834</v>
      </c>
      <c r="D89" s="23">
        <v>1486031761.9029999</v>
      </c>
      <c r="E89" s="23">
        <v>100740.00000000435</v>
      </c>
      <c r="F89" s="23">
        <v>1.8931398129370426E-17</v>
      </c>
      <c r="G89" s="24">
        <v>304</v>
      </c>
      <c r="H89" s="11">
        <v>50000</v>
      </c>
      <c r="I89" s="4">
        <v>1.0000000000000001E-9</v>
      </c>
      <c r="J89" s="11">
        <f t="shared" si="2"/>
        <v>52291486.551293857</v>
      </c>
      <c r="K89" s="24">
        <f t="shared" si="4"/>
        <v>8044843.930967696</v>
      </c>
      <c r="L89" s="25">
        <v>10</v>
      </c>
    </row>
    <row r="90" spans="1:12" x14ac:dyDescent="0.2">
      <c r="A90" s="21">
        <v>28</v>
      </c>
      <c r="B90" s="22">
        <v>60336330.482261419</v>
      </c>
      <c r="C90" s="23">
        <v>24.630806845966834</v>
      </c>
      <c r="D90" s="23">
        <v>1486031761.903002</v>
      </c>
      <c r="E90" s="23">
        <v>100740.00000000435</v>
      </c>
      <c r="F90" s="23">
        <v>1.8931398129370426E-17</v>
      </c>
      <c r="G90" s="24">
        <v>226</v>
      </c>
      <c r="H90" s="11">
        <v>50000</v>
      </c>
      <c r="I90" s="4">
        <v>1.0000000000000001E-9</v>
      </c>
      <c r="J90" s="11">
        <f t="shared" si="2"/>
        <v>54302697.534035929</v>
      </c>
      <c r="K90" s="24">
        <f t="shared" si="4"/>
        <v>6033632.9482256249</v>
      </c>
      <c r="L90" s="25">
        <v>10</v>
      </c>
    </row>
    <row r="91" spans="1:12" x14ac:dyDescent="0.2">
      <c r="A91" s="21">
        <v>29</v>
      </c>
      <c r="B91" s="22">
        <v>60336330.482261501</v>
      </c>
      <c r="C91" s="23">
        <v>24.630806845966482</v>
      </c>
      <c r="D91" s="23">
        <v>1486031761.9029827</v>
      </c>
      <c r="E91" s="23">
        <v>100740.00000000291</v>
      </c>
      <c r="F91" s="23">
        <v>8.4703294725430034E-18</v>
      </c>
      <c r="G91" s="24">
        <v>203</v>
      </c>
      <c r="H91" s="11">
        <v>50000</v>
      </c>
      <c r="I91" s="4">
        <v>1.0000000000000001E-9</v>
      </c>
      <c r="J91" s="11">
        <f t="shared" si="2"/>
        <v>56313908.516778</v>
      </c>
      <c r="K91" s="24">
        <f t="shared" si="4"/>
        <v>4022421.9654835537</v>
      </c>
      <c r="L91" s="25">
        <v>10</v>
      </c>
    </row>
    <row r="92" spans="1:12" x14ac:dyDescent="0.2">
      <c r="A92" s="21">
        <v>30</v>
      </c>
      <c r="B92" s="22">
        <v>60336330.482261546</v>
      </c>
      <c r="C92" s="23">
        <v>24.630806845966482</v>
      </c>
      <c r="D92" s="23">
        <v>1486031761.9029839</v>
      </c>
      <c r="E92" s="23">
        <v>100740.00000000291</v>
      </c>
      <c r="F92" s="23">
        <v>8.4703294725430034E-18</v>
      </c>
      <c r="G92" s="24">
        <v>147</v>
      </c>
      <c r="H92" s="11">
        <v>50000</v>
      </c>
      <c r="I92" s="4">
        <v>1.0000000000000001E-9</v>
      </c>
      <c r="J92" s="11">
        <f t="shared" si="2"/>
        <v>58325119.499520071</v>
      </c>
      <c r="K92" s="24">
        <f t="shared" si="4"/>
        <v>2011210.9827414826</v>
      </c>
      <c r="L92" s="25">
        <v>10</v>
      </c>
    </row>
    <row r="93" spans="1:12" x14ac:dyDescent="0.2">
      <c r="A93" s="21">
        <v>31</v>
      </c>
      <c r="B93" s="22">
        <v>60336330.482261628</v>
      </c>
      <c r="C93" s="23">
        <v>24.630806845966482</v>
      </c>
      <c r="D93" s="23">
        <v>1486031761.9029858</v>
      </c>
      <c r="E93" s="23">
        <v>100740.00000000291</v>
      </c>
      <c r="F93" s="23">
        <v>8.4703294725430034E-18</v>
      </c>
      <c r="G93" s="24">
        <v>124</v>
      </c>
      <c r="H93" s="11">
        <v>50000</v>
      </c>
      <c r="I93" s="4">
        <v>1.0000000000000001E-9</v>
      </c>
      <c r="J93" s="150">
        <f>sheet1!J9</f>
        <v>60336330.482262142</v>
      </c>
      <c r="K93" s="24">
        <f t="shared" si="4"/>
        <v>5.8859586715698242E-7</v>
      </c>
      <c r="L93" s="25">
        <v>10</v>
      </c>
    </row>
    <row r="94" spans="1:12" x14ac:dyDescent="0.2">
      <c r="A94" s="21">
        <v>32</v>
      </c>
      <c r="B94" s="22">
        <v>60336330.48226171</v>
      </c>
      <c r="C94" s="23">
        <v>24.630806845966134</v>
      </c>
      <c r="D94" s="23">
        <v>1486031761.902967</v>
      </c>
      <c r="E94" s="23">
        <v>100740.00000000148</v>
      </c>
      <c r="F94" s="23">
        <v>2.2031326958084352E-18</v>
      </c>
      <c r="G94" s="24">
        <v>541</v>
      </c>
      <c r="H94" s="11">
        <v>50000</v>
      </c>
      <c r="I94" s="4">
        <v>1.0000000000000001E-9</v>
      </c>
      <c r="J94" s="11">
        <f t="shared" ref="J94:J120" si="5">J93+$J$61</f>
        <v>62347541.465004213</v>
      </c>
      <c r="K94" s="24">
        <f t="shared" si="4"/>
        <v>2011210.9827426597</v>
      </c>
      <c r="L94" s="25">
        <v>10</v>
      </c>
    </row>
    <row r="95" spans="1:12" x14ac:dyDescent="0.2">
      <c r="A95" s="21">
        <v>33</v>
      </c>
      <c r="B95" s="22">
        <v>60336330.482261755</v>
      </c>
      <c r="C95" s="23">
        <v>24.630806845966134</v>
      </c>
      <c r="D95" s="23">
        <v>1486031761.9029679</v>
      </c>
      <c r="E95" s="23">
        <v>100740.00000000148</v>
      </c>
      <c r="F95" s="23">
        <v>2.2031326958084352E-18</v>
      </c>
      <c r="G95" s="24">
        <v>925</v>
      </c>
      <c r="H95" s="11">
        <v>50000</v>
      </c>
      <c r="I95" s="4">
        <v>1.0000000000000001E-9</v>
      </c>
      <c r="J95" s="11">
        <f t="shared" si="5"/>
        <v>64358752.447746284</v>
      </c>
      <c r="K95" s="24">
        <f t="shared" si="4"/>
        <v>4022421.9654847309</v>
      </c>
      <c r="L95" s="25">
        <v>10</v>
      </c>
    </row>
    <row r="96" spans="1:12" x14ac:dyDescent="0.2">
      <c r="A96" s="21">
        <v>34</v>
      </c>
      <c r="B96" s="22">
        <v>60336330.482261337</v>
      </c>
      <c r="C96" s="23">
        <v>24.630806845966834</v>
      </c>
      <c r="D96" s="23">
        <v>1486031761.9029999</v>
      </c>
      <c r="E96" s="23">
        <v>100740.00000000435</v>
      </c>
      <c r="F96" s="23">
        <v>1.8931398129370426E-17</v>
      </c>
      <c r="G96" s="24">
        <v>1354</v>
      </c>
      <c r="H96" s="11">
        <v>50000</v>
      </c>
      <c r="I96" s="4">
        <v>1.0000000000000001E-9</v>
      </c>
      <c r="J96" s="11">
        <f t="shared" si="5"/>
        <v>66369963.430488355</v>
      </c>
      <c r="K96" s="24">
        <f t="shared" si="4"/>
        <v>6033632.9482268021</v>
      </c>
      <c r="L96" s="25">
        <v>10</v>
      </c>
    </row>
    <row r="97" spans="1:12" x14ac:dyDescent="0.2">
      <c r="A97" s="21">
        <v>35</v>
      </c>
      <c r="B97" s="22">
        <v>60336330.482261412</v>
      </c>
      <c r="C97" s="23">
        <v>24.630806845966834</v>
      </c>
      <c r="D97" s="23">
        <v>1486031761.9030018</v>
      </c>
      <c r="E97" s="23">
        <v>100740.00000000435</v>
      </c>
      <c r="F97" s="23">
        <v>1.8931398129370426E-17</v>
      </c>
      <c r="G97" s="24">
        <v>1716</v>
      </c>
      <c r="H97" s="11">
        <v>50000</v>
      </c>
      <c r="I97" s="4">
        <v>1.0000000000000001E-9</v>
      </c>
      <c r="J97" s="11">
        <f t="shared" si="5"/>
        <v>68381174.413230419</v>
      </c>
      <c r="K97" s="24">
        <f t="shared" si="4"/>
        <v>8044843.9309688658</v>
      </c>
      <c r="L97" s="25">
        <v>10</v>
      </c>
    </row>
    <row r="98" spans="1:12" x14ac:dyDescent="0.2">
      <c r="A98" s="21">
        <v>36</v>
      </c>
      <c r="B98" s="22">
        <v>60336330.482261516</v>
      </c>
      <c r="C98" s="23">
        <v>24.630806845966482</v>
      </c>
      <c r="D98" s="23">
        <v>1486031761.9029832</v>
      </c>
      <c r="E98" s="23">
        <v>100740.00000000291</v>
      </c>
      <c r="F98" s="23">
        <v>8.4703294725430034E-18</v>
      </c>
      <c r="G98" s="24">
        <v>2145</v>
      </c>
      <c r="H98" s="11">
        <v>50000</v>
      </c>
      <c r="I98" s="4">
        <v>1.0000000000000001E-9</v>
      </c>
      <c r="J98" s="11">
        <f t="shared" si="5"/>
        <v>70392385.39597249</v>
      </c>
      <c r="K98" s="24">
        <f t="shared" si="4"/>
        <v>10056054.913710937</v>
      </c>
      <c r="L98" s="25">
        <v>10</v>
      </c>
    </row>
    <row r="99" spans="1:12" x14ac:dyDescent="0.2">
      <c r="A99" s="21">
        <v>37</v>
      </c>
      <c r="B99" s="22">
        <v>60336330.482261546</v>
      </c>
      <c r="C99" s="23">
        <v>24.630806845966482</v>
      </c>
      <c r="D99" s="23">
        <v>1486031761.9029839</v>
      </c>
      <c r="E99" s="23">
        <v>100740.00000000291</v>
      </c>
      <c r="F99" s="23">
        <v>8.4703294725430034E-18</v>
      </c>
      <c r="G99" s="24">
        <v>2528</v>
      </c>
      <c r="H99" s="11">
        <v>50000</v>
      </c>
      <c r="I99" s="4">
        <v>1.0000000000000001E-9</v>
      </c>
      <c r="J99" s="11">
        <f t="shared" si="5"/>
        <v>72403596.378714561</v>
      </c>
      <c r="K99" s="24">
        <f t="shared" si="4"/>
        <v>12067265.896453008</v>
      </c>
      <c r="L99" s="25">
        <v>10</v>
      </c>
    </row>
    <row r="100" spans="1:12" x14ac:dyDescent="0.2">
      <c r="A100" s="21">
        <v>38</v>
      </c>
      <c r="B100" s="22">
        <v>60336330.48226162</v>
      </c>
      <c r="C100" s="23">
        <v>24.630806845966482</v>
      </c>
      <c r="D100" s="23">
        <v>1486031761.9029856</v>
      </c>
      <c r="E100" s="23">
        <v>100740.00000000291</v>
      </c>
      <c r="F100" s="23">
        <v>8.4703294725430034E-18</v>
      </c>
      <c r="G100" s="24">
        <v>2956</v>
      </c>
      <c r="H100" s="11">
        <v>50000</v>
      </c>
      <c r="I100" s="4">
        <v>1.0000000000000001E-9</v>
      </c>
      <c r="J100" s="11">
        <f t="shared" si="5"/>
        <v>74414807.361456633</v>
      </c>
      <c r="K100" s="24">
        <f t="shared" si="4"/>
        <v>14078476.879195079</v>
      </c>
      <c r="L100" s="25">
        <v>10</v>
      </c>
    </row>
    <row r="101" spans="1:12" x14ac:dyDescent="0.2">
      <c r="A101" s="21">
        <v>39</v>
      </c>
      <c r="B101" s="22">
        <v>60336330.482261725</v>
      </c>
      <c r="C101" s="23">
        <v>24.630806845966134</v>
      </c>
      <c r="D101" s="23">
        <v>1486031761.9029672</v>
      </c>
      <c r="E101" s="23">
        <v>100740.00000000148</v>
      </c>
      <c r="F101" s="23">
        <v>2.2031326958084352E-18</v>
      </c>
      <c r="G101" s="24">
        <v>3352</v>
      </c>
      <c r="H101" s="11">
        <v>50000</v>
      </c>
      <c r="I101" s="4">
        <v>1.0000000000000001E-9</v>
      </c>
      <c r="J101" s="11">
        <f t="shared" si="5"/>
        <v>76426018.344198704</v>
      </c>
      <c r="K101" s="24">
        <f t="shared" si="4"/>
        <v>16089687.86193715</v>
      </c>
      <c r="L101" s="25">
        <v>10</v>
      </c>
    </row>
    <row r="102" spans="1:12" x14ac:dyDescent="0.2">
      <c r="A102" s="21">
        <v>40</v>
      </c>
      <c r="B102" s="22">
        <v>60336330.482261747</v>
      </c>
      <c r="C102" s="23">
        <v>24.630806845966134</v>
      </c>
      <c r="D102" s="23">
        <v>1486031761.9029677</v>
      </c>
      <c r="E102" s="23">
        <v>100740.00000000148</v>
      </c>
      <c r="F102" s="23">
        <v>2.2031326958084352E-18</v>
      </c>
      <c r="G102" s="24">
        <v>3746</v>
      </c>
      <c r="H102" s="11">
        <v>50000</v>
      </c>
      <c r="I102" s="4">
        <v>1.0000000000000001E-9</v>
      </c>
      <c r="J102" s="11">
        <f t="shared" si="5"/>
        <v>78437229.326940775</v>
      </c>
      <c r="K102" s="24">
        <f t="shared" si="4"/>
        <v>18100898.844679222</v>
      </c>
      <c r="L102" s="25">
        <v>10</v>
      </c>
    </row>
    <row r="103" spans="1:12" x14ac:dyDescent="0.2">
      <c r="A103" s="21">
        <v>41</v>
      </c>
      <c r="B103" s="22">
        <v>60336330.482261337</v>
      </c>
      <c r="C103" s="23">
        <v>24.630806845966834</v>
      </c>
      <c r="D103" s="23">
        <v>1486031761.9029999</v>
      </c>
      <c r="E103" s="23">
        <v>100740.00000000435</v>
      </c>
      <c r="F103" s="23">
        <v>1.8931398129370426E-17</v>
      </c>
      <c r="G103" s="24">
        <v>4131</v>
      </c>
      <c r="H103" s="11">
        <v>50000</v>
      </c>
      <c r="I103" s="4">
        <v>1.0000000000000001E-9</v>
      </c>
      <c r="J103" s="11">
        <f t="shared" si="5"/>
        <v>80448440.309682846</v>
      </c>
      <c r="K103" s="24">
        <f t="shared" si="4"/>
        <v>20112109.827421293</v>
      </c>
      <c r="L103" s="25">
        <v>10</v>
      </c>
    </row>
    <row r="104" spans="1:12" x14ac:dyDescent="0.2">
      <c r="A104" s="21">
        <v>42</v>
      </c>
      <c r="B104" s="22">
        <v>60336330.482261382</v>
      </c>
      <c r="C104" s="23">
        <v>24.630806845966834</v>
      </c>
      <c r="D104" s="23">
        <v>1486031761.9030011</v>
      </c>
      <c r="E104" s="23">
        <v>100740.00000000435</v>
      </c>
      <c r="F104" s="23">
        <v>1.8931398129370426E-17</v>
      </c>
      <c r="G104" s="24">
        <v>4548</v>
      </c>
      <c r="H104" s="11">
        <v>50000</v>
      </c>
      <c r="I104" s="4">
        <v>1.0000000000000001E-9</v>
      </c>
      <c r="J104" s="11">
        <f t="shared" si="5"/>
        <v>82459651.292424917</v>
      </c>
      <c r="K104" s="24">
        <f t="shared" si="4"/>
        <v>22123320.810163364</v>
      </c>
      <c r="L104" s="25">
        <v>10</v>
      </c>
    </row>
    <row r="105" spans="1:12" x14ac:dyDescent="0.2">
      <c r="A105" s="21">
        <v>43</v>
      </c>
      <c r="B105" s="22">
        <v>60336330.482261524</v>
      </c>
      <c r="C105" s="23">
        <v>24.630806845966482</v>
      </c>
      <c r="D105" s="23">
        <v>1486031761.9029832</v>
      </c>
      <c r="E105" s="23">
        <v>100740.00000000291</v>
      </c>
      <c r="F105" s="23">
        <v>8.4703294725430034E-18</v>
      </c>
      <c r="G105" s="24">
        <v>4966</v>
      </c>
      <c r="H105" s="11">
        <v>50000</v>
      </c>
      <c r="I105" s="4">
        <v>1.0000000000000001E-9</v>
      </c>
      <c r="J105" s="11">
        <f t="shared" si="5"/>
        <v>84470862.275166988</v>
      </c>
      <c r="K105" s="24">
        <f t="shared" si="4"/>
        <v>24134531.792905435</v>
      </c>
      <c r="L105" s="25">
        <v>10</v>
      </c>
    </row>
    <row r="106" spans="1:12" x14ac:dyDescent="0.2">
      <c r="A106" s="21">
        <v>44</v>
      </c>
      <c r="B106" s="22">
        <v>60336330.482261546</v>
      </c>
      <c r="C106" s="23">
        <v>24.630806845966482</v>
      </c>
      <c r="D106" s="23">
        <v>1486031761.9029839</v>
      </c>
      <c r="E106" s="23">
        <v>100740.00000000291</v>
      </c>
      <c r="F106" s="23">
        <v>8.4703294725430034E-18</v>
      </c>
      <c r="G106" s="24">
        <v>5360</v>
      </c>
      <c r="H106" s="11">
        <v>50000</v>
      </c>
      <c r="I106" s="4">
        <v>1.0000000000000001E-9</v>
      </c>
      <c r="J106" s="11">
        <f t="shared" si="5"/>
        <v>86482073.25790906</v>
      </c>
      <c r="K106" s="24">
        <f t="shared" si="4"/>
        <v>26145742.775647506</v>
      </c>
      <c r="L106" s="25">
        <v>10</v>
      </c>
    </row>
    <row r="107" spans="1:12" x14ac:dyDescent="0.2">
      <c r="A107" s="21">
        <v>45</v>
      </c>
      <c r="B107" s="22">
        <v>60336330.482261598</v>
      </c>
      <c r="C107" s="23">
        <v>24.630806845966482</v>
      </c>
      <c r="D107" s="23">
        <v>1486031761.9029851</v>
      </c>
      <c r="E107" s="23">
        <v>100740.00000000291</v>
      </c>
      <c r="F107" s="23">
        <v>8.4703294725430034E-18</v>
      </c>
      <c r="G107" s="24">
        <v>5755</v>
      </c>
      <c r="H107" s="11">
        <v>50000</v>
      </c>
      <c r="I107" s="4">
        <v>1.0000000000000001E-9</v>
      </c>
      <c r="J107" s="11">
        <f t="shared" si="5"/>
        <v>88493284.240651131</v>
      </c>
      <c r="K107" s="24">
        <f t="shared" si="4"/>
        <v>28156953.758389577</v>
      </c>
      <c r="L107" s="25">
        <v>10</v>
      </c>
    </row>
    <row r="108" spans="1:12" x14ac:dyDescent="0.2">
      <c r="A108" s="21">
        <v>46</v>
      </c>
      <c r="B108" s="22">
        <v>60336330.482261702</v>
      </c>
      <c r="C108" s="23">
        <v>24.630806845966134</v>
      </c>
      <c r="D108" s="23">
        <v>1486031761.9029667</v>
      </c>
      <c r="E108" s="23">
        <v>100740.00000000148</v>
      </c>
      <c r="F108" s="23">
        <v>2.2031326958084352E-18</v>
      </c>
      <c r="G108" s="24">
        <v>6161</v>
      </c>
      <c r="H108" s="11">
        <v>50000</v>
      </c>
      <c r="I108" s="4">
        <v>1.0000000000000001E-9</v>
      </c>
      <c r="J108" s="11">
        <f t="shared" si="5"/>
        <v>90504495.223393202</v>
      </c>
      <c r="K108" s="24">
        <f t="shared" si="4"/>
        <v>30168164.741131648</v>
      </c>
      <c r="L108" s="25">
        <v>10</v>
      </c>
    </row>
    <row r="109" spans="1:12" x14ac:dyDescent="0.2">
      <c r="A109" s="21">
        <v>47</v>
      </c>
      <c r="B109" s="22">
        <v>60336330.482261762</v>
      </c>
      <c r="C109" s="23">
        <v>24.630806845966134</v>
      </c>
      <c r="D109" s="23">
        <v>1486031761.9029682</v>
      </c>
      <c r="E109" s="23">
        <v>100740.00000000148</v>
      </c>
      <c r="F109" s="23">
        <v>2.2031326958084352E-18</v>
      </c>
      <c r="G109" s="24">
        <v>6556</v>
      </c>
      <c r="H109" s="11">
        <v>50000</v>
      </c>
      <c r="I109" s="4">
        <v>1.0000000000000001E-9</v>
      </c>
      <c r="J109" s="11">
        <f t="shared" si="5"/>
        <v>92515706.206135273</v>
      </c>
      <c r="K109" s="24">
        <f t="shared" si="4"/>
        <v>32179375.72387372</v>
      </c>
      <c r="L109" s="25">
        <v>10</v>
      </c>
    </row>
    <row r="110" spans="1:12" x14ac:dyDescent="0.2">
      <c r="A110" s="21">
        <v>48</v>
      </c>
      <c r="B110" s="22">
        <v>60336330.482261337</v>
      </c>
      <c r="C110" s="23">
        <v>24.630806845966834</v>
      </c>
      <c r="D110" s="23">
        <v>1486031761.9029999</v>
      </c>
      <c r="E110" s="23">
        <v>100740.00000000435</v>
      </c>
      <c r="F110" s="23">
        <v>1.8931398129370426E-17</v>
      </c>
      <c r="G110" s="24">
        <v>6963</v>
      </c>
      <c r="H110" s="11">
        <v>50000</v>
      </c>
      <c r="I110" s="4">
        <v>1.0000000000000001E-9</v>
      </c>
      <c r="J110" s="11">
        <f t="shared" si="5"/>
        <v>94526917.188877344</v>
      </c>
      <c r="K110" s="24">
        <f t="shared" si="4"/>
        <v>34190586.706615791</v>
      </c>
      <c r="L110" s="25">
        <v>10</v>
      </c>
    </row>
    <row r="111" spans="1:12" x14ac:dyDescent="0.2">
      <c r="A111" s="21">
        <v>49</v>
      </c>
      <c r="B111" s="22">
        <v>60336330.482261427</v>
      </c>
      <c r="C111" s="23">
        <v>24.630806845966834</v>
      </c>
      <c r="D111" s="23">
        <v>1486031761.903002</v>
      </c>
      <c r="E111" s="23">
        <v>100740.00000000435</v>
      </c>
      <c r="F111" s="23">
        <v>1.8931398129370426E-17</v>
      </c>
      <c r="G111" s="24">
        <v>7347</v>
      </c>
      <c r="H111" s="11">
        <v>50000</v>
      </c>
      <c r="I111" s="4">
        <v>1.0000000000000001E-9</v>
      </c>
      <c r="J111" s="11">
        <f t="shared" si="5"/>
        <v>96538128.171619415</v>
      </c>
      <c r="K111" s="24">
        <f t="shared" si="4"/>
        <v>36201797.689357862</v>
      </c>
      <c r="L111" s="25">
        <v>10</v>
      </c>
    </row>
    <row r="112" spans="1:12" x14ac:dyDescent="0.2">
      <c r="A112" s="21">
        <v>50</v>
      </c>
      <c r="B112" s="22">
        <v>60336330.482261516</v>
      </c>
      <c r="C112" s="23">
        <v>24.630806845966482</v>
      </c>
      <c r="D112" s="23">
        <v>1486031761.9029832</v>
      </c>
      <c r="E112" s="23">
        <v>100740.00000000291</v>
      </c>
      <c r="F112" s="23">
        <v>8.4703294725430034E-18</v>
      </c>
      <c r="G112" s="24">
        <v>7765</v>
      </c>
      <c r="H112" s="11">
        <v>50000</v>
      </c>
      <c r="I112" s="4">
        <v>1.0000000000000001E-9</v>
      </c>
      <c r="J112" s="11">
        <f t="shared" si="5"/>
        <v>98549339.154361486</v>
      </c>
      <c r="K112" s="24">
        <f t="shared" si="4"/>
        <v>38213008.672099933</v>
      </c>
      <c r="L112" s="25">
        <v>10</v>
      </c>
    </row>
    <row r="113" spans="1:12" x14ac:dyDescent="0.2">
      <c r="A113" s="21">
        <v>51</v>
      </c>
      <c r="B113" s="22">
        <v>60336330.482261553</v>
      </c>
      <c r="C113" s="23">
        <v>24.630806845966482</v>
      </c>
      <c r="D113" s="23">
        <v>1486031761.9029839</v>
      </c>
      <c r="E113" s="23">
        <v>100740.00000000291</v>
      </c>
      <c r="F113" s="23">
        <v>8.4703294725430034E-18</v>
      </c>
      <c r="G113" s="24">
        <v>8170</v>
      </c>
      <c r="H113" s="11">
        <v>50000</v>
      </c>
      <c r="I113" s="4">
        <v>1.0000000000000001E-9</v>
      </c>
      <c r="J113" s="11">
        <f t="shared" si="5"/>
        <v>100560550.13710356</v>
      </c>
      <c r="K113" s="24">
        <f t="shared" si="4"/>
        <v>40224219.654842004</v>
      </c>
      <c r="L113" s="25">
        <v>10</v>
      </c>
    </row>
    <row r="114" spans="1:12" x14ac:dyDescent="0.2">
      <c r="A114" s="21">
        <v>52</v>
      </c>
      <c r="B114" s="22">
        <v>60336330.482261628</v>
      </c>
      <c r="C114" s="23">
        <v>24.630806845966482</v>
      </c>
      <c r="D114" s="23">
        <v>1486031761.9029858</v>
      </c>
      <c r="E114" s="23">
        <v>100740.00000000291</v>
      </c>
      <c r="F114" s="23">
        <v>8.4703294725430034E-18</v>
      </c>
      <c r="G114" s="24">
        <v>8576</v>
      </c>
      <c r="H114" s="11">
        <v>50000</v>
      </c>
      <c r="I114" s="4">
        <v>1.0000000000000001E-9</v>
      </c>
      <c r="J114" s="11">
        <f t="shared" si="5"/>
        <v>102571761.11984563</v>
      </c>
      <c r="K114" s="24">
        <f t="shared" si="4"/>
        <v>42235430.637584075</v>
      </c>
      <c r="L114" s="25">
        <v>10</v>
      </c>
    </row>
    <row r="115" spans="1:12" x14ac:dyDescent="0.2">
      <c r="A115" s="21">
        <v>53</v>
      </c>
      <c r="B115" s="22">
        <v>60336330.482261732</v>
      </c>
      <c r="C115" s="23">
        <v>24.630806845966134</v>
      </c>
      <c r="D115" s="23">
        <v>1486031761.9029675</v>
      </c>
      <c r="E115" s="23">
        <v>100740.00000000148</v>
      </c>
      <c r="F115" s="23">
        <v>2.2031326958084352E-18</v>
      </c>
      <c r="G115" s="24">
        <v>8983</v>
      </c>
      <c r="H115" s="11">
        <v>50000</v>
      </c>
      <c r="I115" s="4">
        <v>1.0000000000000001E-9</v>
      </c>
      <c r="J115" s="11">
        <f t="shared" si="5"/>
        <v>104582972.1025877</v>
      </c>
      <c r="K115" s="24">
        <f t="shared" si="4"/>
        <v>44246641.620326146</v>
      </c>
      <c r="L115" s="25">
        <v>10</v>
      </c>
    </row>
    <row r="116" spans="1:12" x14ac:dyDescent="0.2">
      <c r="A116" s="21">
        <v>54</v>
      </c>
      <c r="B116" s="22">
        <v>60336330.482261762</v>
      </c>
      <c r="C116" s="23">
        <v>24.630806845966134</v>
      </c>
      <c r="D116" s="23">
        <v>1486031761.9029682</v>
      </c>
      <c r="E116" s="23">
        <v>100740.00000000148</v>
      </c>
      <c r="F116" s="23">
        <v>2.2031326958084352E-18</v>
      </c>
      <c r="G116" s="24">
        <v>9366</v>
      </c>
      <c r="H116" s="11">
        <v>50000</v>
      </c>
      <c r="I116" s="4">
        <v>1.0000000000000001E-9</v>
      </c>
      <c r="J116" s="11">
        <f t="shared" si="5"/>
        <v>106594183.08532977</v>
      </c>
      <c r="K116" s="24">
        <f t="shared" si="4"/>
        <v>46257852.603068218</v>
      </c>
      <c r="L116" s="25">
        <v>10</v>
      </c>
    </row>
    <row r="117" spans="1:12" x14ac:dyDescent="0.2">
      <c r="A117" s="21">
        <v>55</v>
      </c>
      <c r="B117" s="22">
        <v>60336330.482261345</v>
      </c>
      <c r="C117" s="23">
        <v>24.630806845966834</v>
      </c>
      <c r="D117" s="23">
        <v>1486031761.9030001</v>
      </c>
      <c r="E117" s="23">
        <v>100740.00000000435</v>
      </c>
      <c r="F117" s="23">
        <v>1.8931398129370426E-17</v>
      </c>
      <c r="G117" s="24">
        <v>9762</v>
      </c>
      <c r="H117" s="11">
        <v>50000</v>
      </c>
      <c r="I117" s="4">
        <v>1.0000000000000001E-9</v>
      </c>
      <c r="J117" s="11">
        <f t="shared" si="5"/>
        <v>108605394.06807184</v>
      </c>
      <c r="K117" s="24">
        <f t="shared" si="4"/>
        <v>48269063.585810289</v>
      </c>
      <c r="L117" s="25">
        <v>10</v>
      </c>
    </row>
    <row r="118" spans="1:12" x14ac:dyDescent="0.2">
      <c r="A118" s="21">
        <v>56</v>
      </c>
      <c r="B118" s="22">
        <v>60336330.482261397</v>
      </c>
      <c r="C118" s="23">
        <v>24.630806845966834</v>
      </c>
      <c r="D118" s="23">
        <v>1486031761.9030013</v>
      </c>
      <c r="E118" s="23">
        <v>100740.00000000435</v>
      </c>
      <c r="F118" s="23">
        <v>1.8931398129370426E-17</v>
      </c>
      <c r="G118" s="24">
        <v>10179</v>
      </c>
      <c r="H118" s="11">
        <v>50000</v>
      </c>
      <c r="I118" s="4">
        <v>1.0000000000000001E-9</v>
      </c>
      <c r="J118" s="11">
        <f t="shared" si="5"/>
        <v>110616605.05081391</v>
      </c>
      <c r="K118" s="24">
        <f t="shared" si="4"/>
        <v>50280274.56855236</v>
      </c>
      <c r="L118" s="25">
        <v>10</v>
      </c>
    </row>
    <row r="119" spans="1:12" x14ac:dyDescent="0.2">
      <c r="A119" s="21">
        <v>57</v>
      </c>
      <c r="B119" s="22">
        <v>60336330.482261524</v>
      </c>
      <c r="C119" s="23">
        <v>24.630806845966482</v>
      </c>
      <c r="D119" s="23">
        <v>1486031761.9029832</v>
      </c>
      <c r="E119" s="23">
        <v>100740.00000000291</v>
      </c>
      <c r="F119" s="23">
        <v>8.4703294725430034E-18</v>
      </c>
      <c r="G119" s="24">
        <v>10575</v>
      </c>
      <c r="H119" s="11">
        <v>50000</v>
      </c>
      <c r="I119" s="4">
        <v>1.0000000000000001E-9</v>
      </c>
      <c r="J119" s="11">
        <f t="shared" si="5"/>
        <v>112627816.03355598</v>
      </c>
      <c r="K119" s="24">
        <f t="shared" si="4"/>
        <v>52291485.551294431</v>
      </c>
      <c r="L119" s="25">
        <v>10</v>
      </c>
    </row>
    <row r="120" spans="1:12" ht="13.5" thickBot="1" x14ac:dyDescent="0.25">
      <c r="A120" s="29">
        <v>58</v>
      </c>
      <c r="B120" s="30">
        <v>60336330.482261553</v>
      </c>
      <c r="C120" s="31">
        <v>24.630806845966482</v>
      </c>
      <c r="D120" s="31">
        <v>1486031761.9029839</v>
      </c>
      <c r="E120" s="31">
        <v>100740.00000000291</v>
      </c>
      <c r="F120" s="31">
        <v>8.4703294725430034E-18</v>
      </c>
      <c r="G120" s="32">
        <v>11002</v>
      </c>
      <c r="H120" s="44">
        <v>50000</v>
      </c>
      <c r="I120" s="5">
        <v>1.0000000000000001E-9</v>
      </c>
      <c r="J120" s="44">
        <f t="shared" si="5"/>
        <v>114639027.01629806</v>
      </c>
      <c r="K120" s="32">
        <f t="shared" si="4"/>
        <v>54302696.534036502</v>
      </c>
      <c r="L120" s="33">
        <v>10</v>
      </c>
    </row>
    <row r="122" spans="1:12" ht="13.5" thickBot="1" x14ac:dyDescent="0.25">
      <c r="A122" s="78" t="s">
        <v>52</v>
      </c>
    </row>
    <row r="123" spans="1:12" ht="51.75" thickBot="1" x14ac:dyDescent="0.25">
      <c r="A123" s="79" t="s">
        <v>1</v>
      </c>
      <c r="B123" s="80" t="s">
        <v>33</v>
      </c>
      <c r="C123" s="80" t="s">
        <v>34</v>
      </c>
      <c r="D123" s="80" t="s">
        <v>35</v>
      </c>
      <c r="E123" s="80" t="s">
        <v>36</v>
      </c>
      <c r="F123" s="81" t="s">
        <v>37</v>
      </c>
      <c r="G123" s="81" t="s">
        <v>45</v>
      </c>
      <c r="H123" s="81" t="s">
        <v>46</v>
      </c>
      <c r="I123" s="80" t="s">
        <v>16</v>
      </c>
      <c r="J123" s="80" t="s">
        <v>47</v>
      </c>
      <c r="K123" s="80" t="s">
        <v>48</v>
      </c>
      <c r="L123" s="82" t="s">
        <v>49</v>
      </c>
    </row>
    <row r="124" spans="1:12" x14ac:dyDescent="0.2">
      <c r="A124" s="16">
        <v>1</v>
      </c>
      <c r="B124" s="34">
        <v>60336330.482262157</v>
      </c>
      <c r="C124" s="35">
        <v>24.630806845965608</v>
      </c>
      <c r="D124" s="35">
        <v>1486031761.9029462</v>
      </c>
      <c r="E124" s="35">
        <v>100739.99999999935</v>
      </c>
      <c r="F124" s="35">
        <v>4.2881042954748955E-19</v>
      </c>
      <c r="G124" s="19">
        <v>1646</v>
      </c>
      <c r="H124" s="9">
        <v>50000</v>
      </c>
      <c r="I124" s="7">
        <v>1.0000000000000001E-9</v>
      </c>
      <c r="J124" s="7">
        <v>1</v>
      </c>
      <c r="K124" s="19">
        <f t="shared" ref="K124:K182" si="6">ABS(J124-$B$22)</f>
        <v>60336329.482261494</v>
      </c>
      <c r="L124" s="20">
        <v>1.2</v>
      </c>
    </row>
    <row r="125" spans="1:12" x14ac:dyDescent="0.2">
      <c r="A125" s="21">
        <v>2</v>
      </c>
      <c r="B125" s="22">
        <v>60336330.482262172</v>
      </c>
      <c r="C125" s="23">
        <v>24.630806845965608</v>
      </c>
      <c r="D125" s="23">
        <v>1486031761.9029465</v>
      </c>
      <c r="E125" s="23">
        <v>100739.99999999935</v>
      </c>
      <c r="F125" s="23">
        <v>4.2881042954748955E-19</v>
      </c>
      <c r="G125" s="24">
        <v>1377</v>
      </c>
      <c r="H125" s="11">
        <v>50000</v>
      </c>
      <c r="I125" s="4">
        <v>1.0000000000000001E-9</v>
      </c>
      <c r="J125" s="4">
        <v>1</v>
      </c>
      <c r="K125" s="24">
        <f t="shared" si="6"/>
        <v>60336329.482261494</v>
      </c>
      <c r="L125" s="25">
        <v>1.5</v>
      </c>
    </row>
    <row r="126" spans="1:12" x14ac:dyDescent="0.2">
      <c r="A126" s="21">
        <v>3</v>
      </c>
      <c r="B126" s="22">
        <v>60336330.482262202</v>
      </c>
      <c r="C126" s="23">
        <v>24.630806845965608</v>
      </c>
      <c r="D126" s="23">
        <v>1486031761.9029472</v>
      </c>
      <c r="E126" s="23">
        <v>100739.99999999935</v>
      </c>
      <c r="F126" s="23">
        <v>4.2881042954748955E-19</v>
      </c>
      <c r="G126" s="24">
        <v>1334</v>
      </c>
      <c r="H126" s="11">
        <v>50000</v>
      </c>
      <c r="I126" s="4">
        <v>1.0000000000000001E-9</v>
      </c>
      <c r="J126" s="4">
        <v>1</v>
      </c>
      <c r="K126" s="24">
        <f t="shared" si="6"/>
        <v>60336329.482261494</v>
      </c>
      <c r="L126" s="25">
        <v>2</v>
      </c>
    </row>
    <row r="127" spans="1:12" x14ac:dyDescent="0.2">
      <c r="A127" s="21">
        <v>4</v>
      </c>
      <c r="B127" s="22">
        <v>60336330.48226238</v>
      </c>
      <c r="C127" s="23">
        <v>24.63080684596526</v>
      </c>
      <c r="D127" s="23">
        <v>1486031761.9029307</v>
      </c>
      <c r="E127" s="23">
        <v>100739.99999999792</v>
      </c>
      <c r="F127" s="23">
        <v>4.3302441846007969E-18</v>
      </c>
      <c r="G127" s="24">
        <v>1314</v>
      </c>
      <c r="H127" s="11">
        <v>50000</v>
      </c>
      <c r="I127" s="4">
        <v>1.0000000000000001E-9</v>
      </c>
      <c r="J127" s="4">
        <v>1</v>
      </c>
      <c r="K127" s="24">
        <f t="shared" si="6"/>
        <v>60336329.482261494</v>
      </c>
      <c r="L127" s="25">
        <v>2.5</v>
      </c>
    </row>
    <row r="128" spans="1:12" x14ac:dyDescent="0.2">
      <c r="A128" s="21">
        <v>5</v>
      </c>
      <c r="B128" s="22">
        <v>60336330.48226203</v>
      </c>
      <c r="C128" s="23">
        <v>24.63080684596596</v>
      </c>
      <c r="D128" s="23">
        <v>1486031761.9029644</v>
      </c>
      <c r="E128" s="23">
        <v>100740.00000000077</v>
      </c>
      <c r="F128" s="23">
        <v>5.9482888720933241E-19</v>
      </c>
      <c r="G128" s="24">
        <v>1315</v>
      </c>
      <c r="H128" s="11">
        <v>50000</v>
      </c>
      <c r="I128" s="4">
        <v>1.0000000000000001E-9</v>
      </c>
      <c r="J128" s="4">
        <v>1</v>
      </c>
      <c r="K128" s="24">
        <f t="shared" si="6"/>
        <v>60336329.482261494</v>
      </c>
      <c r="L128" s="25">
        <v>3</v>
      </c>
    </row>
    <row r="129" spans="1:12" x14ac:dyDescent="0.2">
      <c r="A129" s="21">
        <v>6</v>
      </c>
      <c r="B129" s="22">
        <v>60336330.482262567</v>
      </c>
      <c r="C129" s="23">
        <v>24.630806845965083</v>
      </c>
      <c r="D129" s="23">
        <v>1486031761.9029245</v>
      </c>
      <c r="E129" s="23">
        <v>100739.99999999719</v>
      </c>
      <c r="F129" s="23">
        <v>7.8877825630688583E-18</v>
      </c>
      <c r="G129" s="24">
        <v>1289</v>
      </c>
      <c r="H129" s="11">
        <v>50000</v>
      </c>
      <c r="I129" s="4">
        <v>1.0000000000000001E-9</v>
      </c>
      <c r="J129" s="4">
        <v>1</v>
      </c>
      <c r="K129" s="24">
        <f t="shared" si="6"/>
        <v>60336329.482261494</v>
      </c>
      <c r="L129" s="25">
        <v>3.5</v>
      </c>
    </row>
    <row r="130" spans="1:12" x14ac:dyDescent="0.2">
      <c r="A130" s="21">
        <v>7</v>
      </c>
      <c r="B130" s="22">
        <v>60336330.482262142</v>
      </c>
      <c r="C130" s="23">
        <v>24.630806845965608</v>
      </c>
      <c r="D130" s="23">
        <v>1486031761.9029458</v>
      </c>
      <c r="E130" s="23">
        <v>100739.99999999935</v>
      </c>
      <c r="F130" s="23">
        <v>4.2881042954748955E-19</v>
      </c>
      <c r="G130" s="24">
        <v>1304</v>
      </c>
      <c r="H130" s="11">
        <v>50000</v>
      </c>
      <c r="I130" s="4">
        <v>1.0000000000000001E-9</v>
      </c>
      <c r="J130" s="4">
        <v>1</v>
      </c>
      <c r="K130" s="24">
        <f t="shared" si="6"/>
        <v>60336329.482261494</v>
      </c>
      <c r="L130" s="25">
        <v>4</v>
      </c>
    </row>
    <row r="131" spans="1:12" x14ac:dyDescent="0.2">
      <c r="A131" s="21">
        <v>8</v>
      </c>
      <c r="B131" s="22">
        <v>60336330.482262142</v>
      </c>
      <c r="C131" s="23">
        <v>24.630806845965608</v>
      </c>
      <c r="D131" s="23">
        <v>1486031761.9029458</v>
      </c>
      <c r="E131" s="23">
        <v>100739.99999999935</v>
      </c>
      <c r="F131" s="23">
        <v>4.2881042954748955E-19</v>
      </c>
      <c r="G131" s="24">
        <v>1304</v>
      </c>
      <c r="H131" s="11">
        <v>50000</v>
      </c>
      <c r="I131" s="4">
        <v>1.0000000000000001E-9</v>
      </c>
      <c r="J131" s="4">
        <v>1</v>
      </c>
      <c r="K131" s="24">
        <f t="shared" si="6"/>
        <v>60336329.482261494</v>
      </c>
      <c r="L131" s="25">
        <v>4.5</v>
      </c>
    </row>
    <row r="132" spans="1:12" x14ac:dyDescent="0.2">
      <c r="A132" s="21">
        <v>9</v>
      </c>
      <c r="B132" s="22">
        <v>60336330.482262194</v>
      </c>
      <c r="C132" s="23">
        <v>24.630806845965608</v>
      </c>
      <c r="D132" s="23">
        <v>1486031761.9029472</v>
      </c>
      <c r="E132" s="23">
        <v>100739.99999999935</v>
      </c>
      <c r="F132" s="23">
        <v>4.2881042954748955E-19</v>
      </c>
      <c r="G132" s="24">
        <v>1304</v>
      </c>
      <c r="H132" s="11">
        <v>50000</v>
      </c>
      <c r="I132" s="4">
        <v>1.0000000000000001E-9</v>
      </c>
      <c r="J132" s="4">
        <v>1</v>
      </c>
      <c r="K132" s="24">
        <f t="shared" si="6"/>
        <v>60336329.482261494</v>
      </c>
      <c r="L132" s="25">
        <v>5</v>
      </c>
    </row>
    <row r="133" spans="1:12" x14ac:dyDescent="0.2">
      <c r="A133" s="21">
        <v>10</v>
      </c>
      <c r="B133" s="22">
        <v>60336330.48226174</v>
      </c>
      <c r="C133" s="23">
        <v>24.630806845966134</v>
      </c>
      <c r="D133" s="23">
        <v>1486031761.9029677</v>
      </c>
      <c r="E133" s="23">
        <v>100740.00000000148</v>
      </c>
      <c r="F133" s="23">
        <v>2.2031326958084352E-18</v>
      </c>
      <c r="G133" s="24">
        <v>1304</v>
      </c>
      <c r="H133" s="11">
        <v>50000</v>
      </c>
      <c r="I133" s="4">
        <v>1.0000000000000001E-9</v>
      </c>
      <c r="J133" s="4">
        <v>1</v>
      </c>
      <c r="K133" s="24">
        <f t="shared" si="6"/>
        <v>60336329.482261494</v>
      </c>
      <c r="L133" s="25">
        <v>5.5</v>
      </c>
    </row>
    <row r="134" spans="1:12" x14ac:dyDescent="0.2">
      <c r="A134" s="21">
        <v>11</v>
      </c>
      <c r="B134" s="22">
        <v>60336330.482262373</v>
      </c>
      <c r="C134" s="23">
        <v>24.63080684596526</v>
      </c>
      <c r="D134" s="23">
        <v>1486031761.9029305</v>
      </c>
      <c r="E134" s="23">
        <v>100739.99999999792</v>
      </c>
      <c r="F134" s="23">
        <v>4.3302441846007969E-18</v>
      </c>
      <c r="G134" s="24">
        <v>1308</v>
      </c>
      <c r="H134" s="11">
        <v>50000</v>
      </c>
      <c r="I134" s="4">
        <v>1.0000000000000001E-9</v>
      </c>
      <c r="J134" s="4">
        <v>1</v>
      </c>
      <c r="K134" s="24">
        <f t="shared" si="6"/>
        <v>60336329.482261494</v>
      </c>
      <c r="L134" s="25">
        <v>6</v>
      </c>
    </row>
    <row r="135" spans="1:12" x14ac:dyDescent="0.2">
      <c r="A135" s="21">
        <v>12</v>
      </c>
      <c r="B135" s="22">
        <v>60336330.482262395</v>
      </c>
      <c r="C135" s="23">
        <v>24.63080684596526</v>
      </c>
      <c r="D135" s="23">
        <v>1486031761.902931</v>
      </c>
      <c r="E135" s="23">
        <v>100739.99999999792</v>
      </c>
      <c r="F135" s="23">
        <v>4.3302441846007969E-18</v>
      </c>
      <c r="G135" s="24">
        <v>1329</v>
      </c>
      <c r="H135" s="11">
        <v>50000</v>
      </c>
      <c r="I135" s="4">
        <v>1.0000000000000001E-9</v>
      </c>
      <c r="J135" s="4">
        <v>1</v>
      </c>
      <c r="K135" s="24">
        <f t="shared" si="6"/>
        <v>60336329.482261494</v>
      </c>
      <c r="L135" s="25">
        <v>6.5</v>
      </c>
    </row>
    <row r="136" spans="1:12" x14ac:dyDescent="0.2">
      <c r="A136" s="21">
        <v>13</v>
      </c>
      <c r="B136" s="22">
        <v>60336330.482261419</v>
      </c>
      <c r="C136" s="23">
        <v>24.630806845966834</v>
      </c>
      <c r="D136" s="23">
        <v>1486031761.903002</v>
      </c>
      <c r="E136" s="23">
        <v>100740.00000000435</v>
      </c>
      <c r="F136" s="23">
        <v>1.8931398129370426E-17</v>
      </c>
      <c r="G136" s="24">
        <v>1327</v>
      </c>
      <c r="H136" s="11">
        <v>50000</v>
      </c>
      <c r="I136" s="4">
        <v>1.0000000000000001E-9</v>
      </c>
      <c r="J136" s="4">
        <v>1</v>
      </c>
      <c r="K136" s="24">
        <f t="shared" si="6"/>
        <v>60336329.482261494</v>
      </c>
      <c r="L136" s="25">
        <v>7</v>
      </c>
    </row>
    <row r="137" spans="1:12" x14ac:dyDescent="0.2">
      <c r="A137" s="21">
        <v>14</v>
      </c>
      <c r="B137" s="22">
        <v>60336330.48226206</v>
      </c>
      <c r="C137" s="23">
        <v>24.63080684596596</v>
      </c>
      <c r="D137" s="23">
        <v>1486031761.9029651</v>
      </c>
      <c r="E137" s="23">
        <v>100740.00000000077</v>
      </c>
      <c r="F137" s="23">
        <v>5.9482888720933241E-19</v>
      </c>
      <c r="G137" s="24">
        <v>1329</v>
      </c>
      <c r="H137" s="11">
        <v>50000</v>
      </c>
      <c r="I137" s="4">
        <v>1.0000000000000001E-9</v>
      </c>
      <c r="J137" s="4">
        <v>1</v>
      </c>
      <c r="K137" s="24">
        <f t="shared" si="6"/>
        <v>60336329.482261494</v>
      </c>
      <c r="L137" s="25">
        <v>7.5</v>
      </c>
    </row>
    <row r="138" spans="1:12" x14ac:dyDescent="0.2">
      <c r="A138" s="21">
        <v>15</v>
      </c>
      <c r="B138" s="22">
        <v>60336330.48226285</v>
      </c>
      <c r="C138" s="23">
        <v>24.630806845964731</v>
      </c>
      <c r="D138" s="23">
        <v>1486031761.9029102</v>
      </c>
      <c r="E138" s="23">
        <v>100739.99999999575</v>
      </c>
      <c r="F138" s="23">
        <v>1.8055354303672666E-17</v>
      </c>
      <c r="G138" s="24">
        <v>1320</v>
      </c>
      <c r="H138" s="11">
        <v>50000</v>
      </c>
      <c r="I138" s="4">
        <v>1.0000000000000001E-9</v>
      </c>
      <c r="J138" s="4">
        <v>1</v>
      </c>
      <c r="K138" s="24">
        <f t="shared" si="6"/>
        <v>60336329.482261494</v>
      </c>
      <c r="L138" s="25">
        <v>8</v>
      </c>
    </row>
    <row r="139" spans="1:12" x14ac:dyDescent="0.2">
      <c r="A139" s="21">
        <v>16</v>
      </c>
      <c r="B139" s="22">
        <v>60336330.482262239</v>
      </c>
      <c r="C139" s="23">
        <v>24.630806845965608</v>
      </c>
      <c r="D139" s="23">
        <v>1486031761.9029481</v>
      </c>
      <c r="E139" s="23">
        <v>100739.99999999935</v>
      </c>
      <c r="F139" s="23">
        <v>4.2881042954748955E-19</v>
      </c>
      <c r="G139" s="24">
        <v>1337</v>
      </c>
      <c r="H139" s="11">
        <v>50000</v>
      </c>
      <c r="I139" s="4">
        <v>1.0000000000000001E-9</v>
      </c>
      <c r="J139" s="4">
        <v>1</v>
      </c>
      <c r="K139" s="24">
        <f t="shared" si="6"/>
        <v>60336329.482261494</v>
      </c>
      <c r="L139" s="25">
        <v>8.5</v>
      </c>
    </row>
    <row r="140" spans="1:12" x14ac:dyDescent="0.2">
      <c r="A140" s="21">
        <v>17</v>
      </c>
      <c r="B140" s="22">
        <v>60336330.482261375</v>
      </c>
      <c r="C140" s="23">
        <v>24.630806845966834</v>
      </c>
      <c r="D140" s="23">
        <v>1486031761.9030008</v>
      </c>
      <c r="E140" s="23">
        <v>100740.00000000435</v>
      </c>
      <c r="F140" s="23">
        <v>1.8931398129370426E-17</v>
      </c>
      <c r="G140" s="24">
        <v>1321</v>
      </c>
      <c r="H140" s="11">
        <v>50000</v>
      </c>
      <c r="I140" s="4">
        <v>1.0000000000000001E-9</v>
      </c>
      <c r="J140" s="4">
        <v>1</v>
      </c>
      <c r="K140" s="24">
        <f t="shared" si="6"/>
        <v>60336329.482261494</v>
      </c>
      <c r="L140" s="25">
        <v>9</v>
      </c>
    </row>
    <row r="141" spans="1:12" x14ac:dyDescent="0.2">
      <c r="A141" s="21">
        <v>18</v>
      </c>
      <c r="B141" s="22">
        <v>60336330.482261769</v>
      </c>
      <c r="C141" s="23">
        <v>24.630806845966134</v>
      </c>
      <c r="D141" s="23">
        <v>1486031761.9029684</v>
      </c>
      <c r="E141" s="23">
        <v>100740.00000000148</v>
      </c>
      <c r="F141" s="23">
        <v>2.2031326958084352E-18</v>
      </c>
      <c r="G141" s="24">
        <v>1345</v>
      </c>
      <c r="H141" s="11">
        <v>50000</v>
      </c>
      <c r="I141" s="4">
        <v>1.0000000000000001E-9</v>
      </c>
      <c r="J141" s="4">
        <v>1</v>
      </c>
      <c r="K141" s="24">
        <f t="shared" si="6"/>
        <v>60336329.482261494</v>
      </c>
      <c r="L141" s="25">
        <v>9.5</v>
      </c>
    </row>
    <row r="142" spans="1:12" x14ac:dyDescent="0.2">
      <c r="A142" s="21">
        <v>19</v>
      </c>
      <c r="B142" s="22">
        <v>60336330.482261494</v>
      </c>
      <c r="C142" s="23">
        <v>24.630806845966482</v>
      </c>
      <c r="D142" s="23">
        <v>1486031761.9029825</v>
      </c>
      <c r="E142" s="23">
        <v>100740.00000000291</v>
      </c>
      <c r="F142" s="23">
        <v>8.4703294725430034E-18</v>
      </c>
      <c r="G142" s="24">
        <v>1349</v>
      </c>
      <c r="H142" s="11">
        <v>50000</v>
      </c>
      <c r="I142" s="4">
        <v>1.0000000000000001E-9</v>
      </c>
      <c r="J142" s="4">
        <v>1</v>
      </c>
      <c r="K142" s="24">
        <f t="shared" si="6"/>
        <v>60336329.482261494</v>
      </c>
      <c r="L142" s="25">
        <v>10</v>
      </c>
    </row>
    <row r="143" spans="1:12" x14ac:dyDescent="0.2">
      <c r="A143" s="21">
        <v>20</v>
      </c>
      <c r="B143" s="22">
        <v>60336330.482261837</v>
      </c>
      <c r="C143" s="23">
        <v>24.630806845966134</v>
      </c>
      <c r="D143" s="23">
        <v>1486031761.9029701</v>
      </c>
      <c r="E143" s="23">
        <v>100740.00000000148</v>
      </c>
      <c r="F143" s="23">
        <v>2.2031326958084352E-18</v>
      </c>
      <c r="G143" s="24">
        <v>1348</v>
      </c>
      <c r="H143" s="11">
        <v>50000</v>
      </c>
      <c r="I143" s="4">
        <v>1.0000000000000001E-9</v>
      </c>
      <c r="J143" s="4">
        <v>1</v>
      </c>
      <c r="K143" s="24">
        <f t="shared" si="6"/>
        <v>60336329.482261494</v>
      </c>
      <c r="L143" s="25">
        <v>10.5</v>
      </c>
    </row>
    <row r="144" spans="1:12" x14ac:dyDescent="0.2">
      <c r="A144" s="21">
        <v>21</v>
      </c>
      <c r="B144" s="22">
        <v>60336330.482262336</v>
      </c>
      <c r="C144" s="23">
        <v>24.63080684596526</v>
      </c>
      <c r="D144" s="23">
        <v>1486031761.9029295</v>
      </c>
      <c r="E144" s="23">
        <v>100739.99999999792</v>
      </c>
      <c r="F144" s="23">
        <v>4.3302441846007969E-18</v>
      </c>
      <c r="G144" s="24">
        <v>1338</v>
      </c>
      <c r="H144" s="11">
        <v>50000</v>
      </c>
      <c r="I144" s="4">
        <v>1.0000000000000001E-9</v>
      </c>
      <c r="J144" s="4">
        <v>1</v>
      </c>
      <c r="K144" s="24">
        <f t="shared" si="6"/>
        <v>60336329.482261494</v>
      </c>
      <c r="L144" s="25">
        <v>11</v>
      </c>
    </row>
    <row r="145" spans="1:12" x14ac:dyDescent="0.2">
      <c r="A145" s="21">
        <v>22</v>
      </c>
      <c r="B145" s="22">
        <v>60336330.482262559</v>
      </c>
      <c r="C145" s="23">
        <v>24.630806845965083</v>
      </c>
      <c r="D145" s="23">
        <v>1486031761.9029243</v>
      </c>
      <c r="E145" s="23">
        <v>100739.99999999719</v>
      </c>
      <c r="F145" s="23">
        <v>7.8877825630688583E-18</v>
      </c>
      <c r="G145" s="24">
        <v>1340</v>
      </c>
      <c r="H145" s="11">
        <v>50000</v>
      </c>
      <c r="I145" s="4">
        <v>1.0000000000000001E-9</v>
      </c>
      <c r="J145" s="4">
        <v>1</v>
      </c>
      <c r="K145" s="24">
        <f t="shared" si="6"/>
        <v>60336329.482261494</v>
      </c>
      <c r="L145" s="25">
        <v>11.5</v>
      </c>
    </row>
    <row r="146" spans="1:12" x14ac:dyDescent="0.2">
      <c r="A146" s="21">
        <v>23</v>
      </c>
      <c r="B146" s="22">
        <v>60336330.482262835</v>
      </c>
      <c r="C146" s="23">
        <v>24.630806845964731</v>
      </c>
      <c r="D146" s="23">
        <v>1486031761.90291</v>
      </c>
      <c r="E146" s="23">
        <v>100739.99999999575</v>
      </c>
      <c r="F146" s="23">
        <v>1.8055354303672666E-17</v>
      </c>
      <c r="G146" s="24">
        <v>1344</v>
      </c>
      <c r="H146" s="11">
        <v>50000</v>
      </c>
      <c r="I146" s="4">
        <v>1.0000000000000001E-9</v>
      </c>
      <c r="J146" s="4">
        <v>1</v>
      </c>
      <c r="K146" s="24">
        <f t="shared" si="6"/>
        <v>60336329.482261494</v>
      </c>
      <c r="L146" s="25">
        <v>12</v>
      </c>
    </row>
    <row r="147" spans="1:12" x14ac:dyDescent="0.2">
      <c r="A147" s="21">
        <v>24</v>
      </c>
      <c r="B147" s="22">
        <v>60336330.482262522</v>
      </c>
      <c r="C147" s="23">
        <v>24.630806845965083</v>
      </c>
      <c r="D147" s="23">
        <v>1486031761.9029233</v>
      </c>
      <c r="E147" s="23">
        <v>100739.99999999719</v>
      </c>
      <c r="F147" s="23">
        <v>7.8877825630688583E-18</v>
      </c>
      <c r="G147" s="24">
        <v>1362</v>
      </c>
      <c r="H147" s="11">
        <v>50000</v>
      </c>
      <c r="I147" s="4">
        <v>1.0000000000000001E-9</v>
      </c>
      <c r="J147" s="4">
        <v>1</v>
      </c>
      <c r="K147" s="24">
        <f t="shared" si="6"/>
        <v>60336329.482261494</v>
      </c>
      <c r="L147" s="25">
        <v>12.5</v>
      </c>
    </row>
    <row r="148" spans="1:12" x14ac:dyDescent="0.2">
      <c r="A148" s="21">
        <v>25</v>
      </c>
      <c r="B148" s="22">
        <v>60336330.482262515</v>
      </c>
      <c r="C148" s="23">
        <v>24.630806845965083</v>
      </c>
      <c r="D148" s="23">
        <v>1486031761.9029233</v>
      </c>
      <c r="E148" s="23">
        <v>100739.99999999719</v>
      </c>
      <c r="F148" s="23">
        <v>7.8877825630688583E-18</v>
      </c>
      <c r="G148" s="24">
        <v>1353</v>
      </c>
      <c r="H148" s="11">
        <v>50000</v>
      </c>
      <c r="I148" s="4">
        <v>1.0000000000000001E-9</v>
      </c>
      <c r="J148" s="4">
        <v>1</v>
      </c>
      <c r="K148" s="24">
        <f t="shared" si="6"/>
        <v>60336329.482261494</v>
      </c>
      <c r="L148" s="25">
        <v>13</v>
      </c>
    </row>
    <row r="149" spans="1:12" x14ac:dyDescent="0.2">
      <c r="A149" s="21">
        <v>26</v>
      </c>
      <c r="B149" s="22">
        <v>60336330.482262515</v>
      </c>
      <c r="C149" s="23">
        <v>24.630806845965083</v>
      </c>
      <c r="D149" s="23">
        <v>1486031761.9029233</v>
      </c>
      <c r="E149" s="23">
        <v>100739.99999999719</v>
      </c>
      <c r="F149" s="23">
        <v>7.8877825630688583E-18</v>
      </c>
      <c r="G149" s="24">
        <v>1353</v>
      </c>
      <c r="H149" s="11">
        <v>50000</v>
      </c>
      <c r="I149" s="4">
        <v>1.0000000000000001E-9</v>
      </c>
      <c r="J149" s="4">
        <v>1</v>
      </c>
      <c r="K149" s="24">
        <f t="shared" si="6"/>
        <v>60336329.482261494</v>
      </c>
      <c r="L149" s="25">
        <v>13.5</v>
      </c>
    </row>
    <row r="150" spans="1:12" x14ac:dyDescent="0.2">
      <c r="A150" s="21">
        <v>27</v>
      </c>
      <c r="B150" s="22">
        <v>60336330.482260123</v>
      </c>
      <c r="C150" s="23">
        <v>24.630806845968408</v>
      </c>
      <c r="D150" s="23">
        <v>1486031761.903065</v>
      </c>
      <c r="E150" s="23">
        <v>100740.00000001078</v>
      </c>
      <c r="F150" s="23">
        <v>1.1627242442783462E-16</v>
      </c>
      <c r="G150" s="24">
        <v>1369</v>
      </c>
      <c r="H150" s="11">
        <v>50000</v>
      </c>
      <c r="I150" s="4">
        <v>1.0000000000000001E-9</v>
      </c>
      <c r="J150" s="4">
        <v>1</v>
      </c>
      <c r="K150" s="24">
        <f t="shared" si="6"/>
        <v>60336329.482261494</v>
      </c>
      <c r="L150" s="25">
        <v>14</v>
      </c>
    </row>
    <row r="151" spans="1:12" x14ac:dyDescent="0.2">
      <c r="A151" s="21">
        <v>28</v>
      </c>
      <c r="B151" s="22">
        <v>60336330.48226057</v>
      </c>
      <c r="C151" s="23">
        <v>24.630806845967886</v>
      </c>
      <c r="D151" s="23">
        <v>1486031761.9030445</v>
      </c>
      <c r="E151" s="23">
        <v>100740.00000000866</v>
      </c>
      <c r="F151" s="23">
        <v>7.4967709787925919E-17</v>
      </c>
      <c r="G151" s="24">
        <v>1340</v>
      </c>
      <c r="H151" s="11">
        <v>50000</v>
      </c>
      <c r="I151" s="4">
        <v>1.0000000000000001E-9</v>
      </c>
      <c r="J151" s="4">
        <v>1</v>
      </c>
      <c r="K151" s="24">
        <f t="shared" si="6"/>
        <v>60336329.482261494</v>
      </c>
      <c r="L151" s="25">
        <v>14.5</v>
      </c>
    </row>
    <row r="152" spans="1:12" x14ac:dyDescent="0.2">
      <c r="A152" s="21">
        <v>29</v>
      </c>
      <c r="B152" s="36">
        <v>60336330.482260734</v>
      </c>
      <c r="C152" s="37">
        <v>24.630806845967534</v>
      </c>
      <c r="D152" s="37">
        <v>1486031761.9030273</v>
      </c>
      <c r="E152" s="37">
        <v>100740.00000000722</v>
      </c>
      <c r="F152" s="37">
        <v>5.2095914387928488E-17</v>
      </c>
      <c r="G152" s="38">
        <v>1352</v>
      </c>
      <c r="H152" s="11">
        <v>50000</v>
      </c>
      <c r="I152" s="4">
        <v>1.0000000000000001E-9</v>
      </c>
      <c r="J152" s="4">
        <v>1</v>
      </c>
      <c r="K152" s="24">
        <f t="shared" si="6"/>
        <v>60336329.482261494</v>
      </c>
      <c r="L152" s="25">
        <v>15</v>
      </c>
    </row>
    <row r="153" spans="1:12" x14ac:dyDescent="0.2">
      <c r="A153" s="21">
        <v>30</v>
      </c>
      <c r="B153" s="22">
        <v>60336330.482261173</v>
      </c>
      <c r="C153" s="23">
        <v>24.630806845967008</v>
      </c>
      <c r="D153" s="23">
        <v>1486031761.9030063</v>
      </c>
      <c r="E153" s="23">
        <v>100740.00000000506</v>
      </c>
      <c r="F153" s="23">
        <v>2.5644769511071197E-17</v>
      </c>
      <c r="G153" s="24">
        <v>1361</v>
      </c>
      <c r="H153" s="11">
        <v>50000</v>
      </c>
      <c r="I153" s="4">
        <v>1.0000000000000001E-9</v>
      </c>
      <c r="J153" s="4">
        <v>1</v>
      </c>
      <c r="K153" s="24">
        <f t="shared" si="6"/>
        <v>60336329.482261494</v>
      </c>
      <c r="L153" s="25">
        <v>15.5</v>
      </c>
    </row>
    <row r="154" spans="1:12" x14ac:dyDescent="0.2">
      <c r="A154" s="21">
        <v>31</v>
      </c>
      <c r="B154" s="36">
        <v>60336330.482261524</v>
      </c>
      <c r="C154" s="37">
        <v>24.630806845966482</v>
      </c>
      <c r="D154" s="37">
        <v>1486031761.9029832</v>
      </c>
      <c r="E154" s="37">
        <v>100740.00000000291</v>
      </c>
      <c r="F154" s="37">
        <v>8.4703294725430034E-18</v>
      </c>
      <c r="G154" s="38">
        <v>1365</v>
      </c>
      <c r="H154" s="11">
        <v>50000</v>
      </c>
      <c r="I154" s="4">
        <v>1.0000000000000001E-9</v>
      </c>
      <c r="J154" s="4">
        <v>1</v>
      </c>
      <c r="K154" s="24">
        <f t="shared" si="6"/>
        <v>60336329.482261494</v>
      </c>
      <c r="L154" s="25">
        <v>16</v>
      </c>
    </row>
    <row r="155" spans="1:12" x14ac:dyDescent="0.2">
      <c r="A155" s="21">
        <v>32</v>
      </c>
      <c r="B155" s="22">
        <v>60336330.482261404</v>
      </c>
      <c r="C155" s="23">
        <v>24.630806845966834</v>
      </c>
      <c r="D155" s="23">
        <v>1486031761.9030015</v>
      </c>
      <c r="E155" s="23">
        <v>100740.00000000435</v>
      </c>
      <c r="F155" s="23">
        <v>1.8931398129370426E-17</v>
      </c>
      <c r="G155" s="24">
        <v>1359</v>
      </c>
      <c r="H155" s="11">
        <v>50000</v>
      </c>
      <c r="I155" s="4">
        <v>1.0000000000000001E-9</v>
      </c>
      <c r="J155" s="4">
        <v>1</v>
      </c>
      <c r="K155" s="24">
        <f t="shared" si="6"/>
        <v>60336329.482261494</v>
      </c>
      <c r="L155" s="25">
        <v>16.5</v>
      </c>
    </row>
    <row r="156" spans="1:12" x14ac:dyDescent="0.2">
      <c r="A156" s="21">
        <v>33</v>
      </c>
      <c r="B156" s="36">
        <v>60336330.482261837</v>
      </c>
      <c r="C156" s="37">
        <v>24.630806845966134</v>
      </c>
      <c r="D156" s="37">
        <v>1486031761.9029701</v>
      </c>
      <c r="E156" s="37">
        <v>100740.00000000148</v>
      </c>
      <c r="F156" s="37">
        <v>2.2031326958084352E-18</v>
      </c>
      <c r="G156" s="38">
        <v>1373</v>
      </c>
      <c r="H156" s="11">
        <v>50000</v>
      </c>
      <c r="I156" s="4">
        <v>1.0000000000000001E-9</v>
      </c>
      <c r="J156" s="4">
        <v>1</v>
      </c>
      <c r="K156" s="24">
        <f t="shared" si="6"/>
        <v>60336329.482261494</v>
      </c>
      <c r="L156" s="25">
        <v>17</v>
      </c>
    </row>
    <row r="157" spans="1:12" x14ac:dyDescent="0.2">
      <c r="A157" s="21">
        <v>34</v>
      </c>
      <c r="B157" s="22">
        <v>60336330.482261725</v>
      </c>
      <c r="C157" s="23">
        <v>24.630806845966134</v>
      </c>
      <c r="D157" s="23">
        <v>1486031761.9029672</v>
      </c>
      <c r="E157" s="23">
        <v>100740.00000000148</v>
      </c>
      <c r="F157" s="23">
        <v>2.2031326958084352E-18</v>
      </c>
      <c r="G157" s="24">
        <v>1386</v>
      </c>
      <c r="H157" s="11">
        <v>50000</v>
      </c>
      <c r="I157" s="4">
        <v>1.0000000000000001E-9</v>
      </c>
      <c r="J157" s="4">
        <v>1</v>
      </c>
      <c r="K157" s="24">
        <f t="shared" si="6"/>
        <v>60336329.482261494</v>
      </c>
      <c r="L157" s="25">
        <v>17.5</v>
      </c>
    </row>
    <row r="158" spans="1:12" x14ac:dyDescent="0.2">
      <c r="A158" s="21">
        <v>35</v>
      </c>
      <c r="B158" s="36">
        <v>60336330.482261933</v>
      </c>
      <c r="C158" s="37">
        <v>24.63080684596596</v>
      </c>
      <c r="D158" s="37">
        <v>1486031761.902962</v>
      </c>
      <c r="E158" s="37">
        <v>100740.00000000077</v>
      </c>
      <c r="F158" s="37">
        <v>5.9482888720933241E-19</v>
      </c>
      <c r="G158" s="38">
        <v>1362</v>
      </c>
      <c r="H158" s="11">
        <v>50000</v>
      </c>
      <c r="I158" s="4">
        <v>1.0000000000000001E-9</v>
      </c>
      <c r="J158" s="4">
        <v>1</v>
      </c>
      <c r="K158" s="24">
        <f t="shared" si="6"/>
        <v>60336329.482261494</v>
      </c>
      <c r="L158" s="25">
        <v>18</v>
      </c>
    </row>
    <row r="159" spans="1:12" x14ac:dyDescent="0.2">
      <c r="A159" s="21">
        <v>36</v>
      </c>
      <c r="B159" s="22">
        <v>60336330.482262962</v>
      </c>
      <c r="C159" s="23">
        <v>24.63080684596456</v>
      </c>
      <c r="D159" s="23">
        <v>1486031761.9029028</v>
      </c>
      <c r="E159" s="23">
        <v>100739.99999999505</v>
      </c>
      <c r="F159" s="23">
        <v>2.447925217564928E-17</v>
      </c>
      <c r="G159" s="24">
        <v>1392</v>
      </c>
      <c r="H159" s="11">
        <v>50000</v>
      </c>
      <c r="I159" s="4">
        <v>1.0000000000000001E-9</v>
      </c>
      <c r="J159" s="4">
        <v>1</v>
      </c>
      <c r="K159" s="24">
        <f t="shared" si="6"/>
        <v>60336329.482261494</v>
      </c>
      <c r="L159" s="25">
        <v>18.5</v>
      </c>
    </row>
    <row r="160" spans="1:12" x14ac:dyDescent="0.2">
      <c r="A160" s="21">
        <v>37</v>
      </c>
      <c r="B160" s="36">
        <v>60336330.482264921</v>
      </c>
      <c r="C160" s="37">
        <v>24.630806845961931</v>
      </c>
      <c r="D160" s="37">
        <v>1486031761.9027925</v>
      </c>
      <c r="E160" s="37">
        <v>100739.9999999843</v>
      </c>
      <c r="F160" s="37">
        <v>2.4653762138607347E-16</v>
      </c>
      <c r="G160" s="38">
        <v>1356</v>
      </c>
      <c r="H160" s="11">
        <v>50000</v>
      </c>
      <c r="I160" s="4">
        <v>1.0000000000000001E-9</v>
      </c>
      <c r="J160" s="4">
        <v>1</v>
      </c>
      <c r="K160" s="24">
        <f t="shared" si="6"/>
        <v>60336329.482261494</v>
      </c>
      <c r="L160" s="25">
        <v>19</v>
      </c>
    </row>
    <row r="161" spans="1:12" x14ac:dyDescent="0.2">
      <c r="A161" s="21">
        <v>38</v>
      </c>
      <c r="B161" s="22">
        <v>60336330.482264921</v>
      </c>
      <c r="C161" s="23">
        <v>24.630806845961931</v>
      </c>
      <c r="D161" s="23">
        <v>1486031761.9027925</v>
      </c>
      <c r="E161" s="23">
        <v>100739.9999999843</v>
      </c>
      <c r="F161" s="23">
        <v>2.4653762138607347E-16</v>
      </c>
      <c r="G161" s="24">
        <v>1411</v>
      </c>
      <c r="H161" s="11">
        <v>50000</v>
      </c>
      <c r="I161" s="4">
        <v>1.0000000000000001E-9</v>
      </c>
      <c r="J161" s="4">
        <v>1</v>
      </c>
      <c r="K161" s="24">
        <f t="shared" si="6"/>
        <v>60336329.482261494</v>
      </c>
      <c r="L161" s="25">
        <v>19.5</v>
      </c>
    </row>
    <row r="162" spans="1:12" x14ac:dyDescent="0.2">
      <c r="A162" s="21">
        <v>39</v>
      </c>
      <c r="B162" s="36">
        <v>60336330.482263625</v>
      </c>
      <c r="C162" s="37">
        <v>24.630806845963686</v>
      </c>
      <c r="D162" s="37">
        <v>1486031761.9028664</v>
      </c>
      <c r="E162" s="37">
        <v>100739.99999999147</v>
      </c>
      <c r="F162" s="37">
        <v>7.271693148883443E-17</v>
      </c>
      <c r="G162" s="38">
        <v>1357</v>
      </c>
      <c r="H162" s="11">
        <v>50000</v>
      </c>
      <c r="I162" s="4">
        <v>1.0000000000000001E-9</v>
      </c>
      <c r="J162" s="4">
        <v>1</v>
      </c>
      <c r="K162" s="24">
        <f t="shared" si="6"/>
        <v>60336329.482261494</v>
      </c>
      <c r="L162" s="25">
        <v>20</v>
      </c>
    </row>
    <row r="163" spans="1:12" x14ac:dyDescent="0.2">
      <c r="A163" s="21">
        <v>40</v>
      </c>
      <c r="B163" s="22">
        <v>60336330.482264087</v>
      </c>
      <c r="C163" s="23">
        <v>24.630806845962983</v>
      </c>
      <c r="D163" s="23">
        <v>1486031761.9028354</v>
      </c>
      <c r="E163" s="23">
        <v>100739.99999998861</v>
      </c>
      <c r="F163" s="23">
        <v>1.2982664564979794E-16</v>
      </c>
      <c r="G163" s="24">
        <v>1373</v>
      </c>
      <c r="H163" s="11">
        <v>50000</v>
      </c>
      <c r="I163" s="4">
        <v>1.0000000000000001E-9</v>
      </c>
      <c r="J163" s="4">
        <v>1</v>
      </c>
      <c r="K163" s="24">
        <f t="shared" si="6"/>
        <v>60336329.482261494</v>
      </c>
      <c r="L163" s="25">
        <v>20.5</v>
      </c>
    </row>
    <row r="164" spans="1:12" x14ac:dyDescent="0.2">
      <c r="A164" s="21">
        <v>41</v>
      </c>
      <c r="B164" s="36">
        <v>60336330.482262976</v>
      </c>
      <c r="C164" s="37">
        <v>24.63080684596456</v>
      </c>
      <c r="D164" s="37">
        <v>1486031761.9029031</v>
      </c>
      <c r="E164" s="37">
        <v>100739.99999999505</v>
      </c>
      <c r="F164" s="37">
        <v>2.447925217564928E-17</v>
      </c>
      <c r="G164" s="38">
        <v>1392</v>
      </c>
      <c r="H164" s="11">
        <v>50000</v>
      </c>
      <c r="I164" s="4">
        <v>1.0000000000000001E-9</v>
      </c>
      <c r="J164" s="4">
        <v>1</v>
      </c>
      <c r="K164" s="24">
        <f t="shared" si="6"/>
        <v>60336329.482261494</v>
      </c>
      <c r="L164" s="25">
        <v>21</v>
      </c>
    </row>
    <row r="165" spans="1:12" x14ac:dyDescent="0.2">
      <c r="A165" s="21">
        <v>42</v>
      </c>
      <c r="B165" s="22">
        <v>60336330.482263073</v>
      </c>
      <c r="C165" s="23">
        <v>24.63080684596456</v>
      </c>
      <c r="D165" s="23">
        <v>1486031761.9029055</v>
      </c>
      <c r="E165" s="23">
        <v>100739.99999999505</v>
      </c>
      <c r="F165" s="23">
        <v>2.447925217564928E-17</v>
      </c>
      <c r="G165" s="24">
        <v>1382</v>
      </c>
      <c r="H165" s="11">
        <v>50000</v>
      </c>
      <c r="I165" s="4">
        <v>1.0000000000000001E-9</v>
      </c>
      <c r="J165" s="4">
        <v>1</v>
      </c>
      <c r="K165" s="24">
        <f t="shared" si="6"/>
        <v>60336329.482261494</v>
      </c>
      <c r="L165" s="25">
        <v>21.5</v>
      </c>
    </row>
    <row r="166" spans="1:12" x14ac:dyDescent="0.2">
      <c r="A166" s="21">
        <v>43</v>
      </c>
      <c r="B166" s="36">
        <v>60336330.48226326</v>
      </c>
      <c r="C166" s="37">
        <v>24.630806845964209</v>
      </c>
      <c r="D166" s="37">
        <v>1486031761.9028888</v>
      </c>
      <c r="E166" s="37">
        <v>100739.99999999361</v>
      </c>
      <c r="F166" s="37">
        <v>4.0810259156949004E-17</v>
      </c>
      <c r="G166" s="38">
        <v>1387</v>
      </c>
      <c r="H166" s="11">
        <v>50000</v>
      </c>
      <c r="I166" s="4">
        <v>1.0000000000000001E-9</v>
      </c>
      <c r="J166" s="4">
        <v>1</v>
      </c>
      <c r="K166" s="24">
        <f t="shared" si="6"/>
        <v>60336329.482261494</v>
      </c>
      <c r="L166" s="25">
        <v>22</v>
      </c>
    </row>
    <row r="167" spans="1:12" x14ac:dyDescent="0.2">
      <c r="A167" s="21">
        <v>44</v>
      </c>
      <c r="B167" s="22">
        <v>60336330.482262731</v>
      </c>
      <c r="C167" s="23">
        <v>24.630806845964731</v>
      </c>
      <c r="D167" s="23">
        <v>1486031761.9029074</v>
      </c>
      <c r="E167" s="23">
        <v>100739.99999999575</v>
      </c>
      <c r="F167" s="23">
        <v>1.8055354303672666E-17</v>
      </c>
      <c r="G167" s="24">
        <v>1409</v>
      </c>
      <c r="H167" s="11">
        <v>50000</v>
      </c>
      <c r="I167" s="4">
        <v>1.0000000000000001E-9</v>
      </c>
      <c r="J167" s="4">
        <v>1</v>
      </c>
      <c r="K167" s="24">
        <f t="shared" si="6"/>
        <v>60336329.482261494</v>
      </c>
      <c r="L167" s="25">
        <v>22.5</v>
      </c>
    </row>
    <row r="168" spans="1:12" x14ac:dyDescent="0.2">
      <c r="A168" s="21">
        <v>45</v>
      </c>
      <c r="B168" s="36">
        <v>60336330.48226285</v>
      </c>
      <c r="C168" s="37">
        <v>24.630806845964731</v>
      </c>
      <c r="D168" s="37">
        <v>1486031761.9029102</v>
      </c>
      <c r="E168" s="37">
        <v>100739.99999999575</v>
      </c>
      <c r="F168" s="37">
        <v>1.8055354303672666E-17</v>
      </c>
      <c r="G168" s="38">
        <v>1407</v>
      </c>
      <c r="H168" s="11">
        <v>50000</v>
      </c>
      <c r="I168" s="4">
        <v>1.0000000000000001E-9</v>
      </c>
      <c r="J168" s="4">
        <v>1</v>
      </c>
      <c r="K168" s="24">
        <f t="shared" si="6"/>
        <v>60336329.482261494</v>
      </c>
      <c r="L168" s="25">
        <v>23</v>
      </c>
    </row>
    <row r="169" spans="1:12" x14ac:dyDescent="0.2">
      <c r="A169" s="21">
        <v>46</v>
      </c>
      <c r="B169" s="22">
        <v>60336330.482262738</v>
      </c>
      <c r="C169" s="23">
        <v>24.630806845964731</v>
      </c>
      <c r="D169" s="23">
        <v>1486031761.9029076</v>
      </c>
      <c r="E169" s="23">
        <v>100739.99999999575</v>
      </c>
      <c r="F169" s="23">
        <v>1.8055354303672666E-17</v>
      </c>
      <c r="G169" s="24">
        <v>1412</v>
      </c>
      <c r="H169" s="11">
        <v>50000</v>
      </c>
      <c r="I169" s="4">
        <v>1.0000000000000001E-9</v>
      </c>
      <c r="J169" s="4">
        <v>1</v>
      </c>
      <c r="K169" s="24">
        <f t="shared" si="6"/>
        <v>60336329.482261494</v>
      </c>
      <c r="L169" s="25">
        <v>23.5</v>
      </c>
    </row>
    <row r="170" spans="1:12" x14ac:dyDescent="0.2">
      <c r="A170" s="21">
        <v>47</v>
      </c>
      <c r="B170" s="36">
        <v>60336330.48226238</v>
      </c>
      <c r="C170" s="37">
        <v>24.63080684596526</v>
      </c>
      <c r="D170" s="37">
        <v>1486031761.9029307</v>
      </c>
      <c r="E170" s="37">
        <v>100739.99999999792</v>
      </c>
      <c r="F170" s="37">
        <v>4.3302441846007969E-18</v>
      </c>
      <c r="G170" s="38">
        <v>1460</v>
      </c>
      <c r="H170" s="11">
        <v>50000</v>
      </c>
      <c r="I170" s="4">
        <v>1.0000000000000001E-9</v>
      </c>
      <c r="J170" s="4">
        <v>1</v>
      </c>
      <c r="K170" s="24">
        <f t="shared" si="6"/>
        <v>60336329.482261494</v>
      </c>
      <c r="L170" s="25">
        <v>24</v>
      </c>
    </row>
    <row r="171" spans="1:12" x14ac:dyDescent="0.2">
      <c r="A171" s="21">
        <v>48</v>
      </c>
      <c r="B171" s="22">
        <v>60336330.48226238</v>
      </c>
      <c r="C171" s="23">
        <v>24.63080684596526</v>
      </c>
      <c r="D171" s="23">
        <v>1486031761.9029307</v>
      </c>
      <c r="E171" s="23">
        <v>100739.99999999792</v>
      </c>
      <c r="F171" s="23">
        <v>4.3302441846007969E-18</v>
      </c>
      <c r="G171" s="24">
        <v>1407</v>
      </c>
      <c r="H171" s="11">
        <v>50000</v>
      </c>
      <c r="I171" s="4">
        <v>1.0000000000000001E-9</v>
      </c>
      <c r="J171" s="4">
        <v>1</v>
      </c>
      <c r="K171" s="24">
        <f t="shared" si="6"/>
        <v>60336329.482261494</v>
      </c>
      <c r="L171" s="25">
        <v>24.5</v>
      </c>
    </row>
    <row r="172" spans="1:12" x14ac:dyDescent="0.2">
      <c r="A172" s="21">
        <v>49</v>
      </c>
      <c r="B172" s="36">
        <v>60336330.482262433</v>
      </c>
      <c r="C172" s="37">
        <v>24.63080684596526</v>
      </c>
      <c r="D172" s="37">
        <v>1486031761.9029319</v>
      </c>
      <c r="E172" s="37">
        <v>100739.99999999792</v>
      </c>
      <c r="F172" s="37">
        <v>4.3302441846007969E-18</v>
      </c>
      <c r="G172" s="38">
        <v>1412</v>
      </c>
      <c r="H172" s="11">
        <v>50000</v>
      </c>
      <c r="I172" s="4">
        <v>1.0000000000000001E-9</v>
      </c>
      <c r="J172" s="4">
        <v>1</v>
      </c>
      <c r="K172" s="24">
        <f t="shared" si="6"/>
        <v>60336329.482261494</v>
      </c>
      <c r="L172" s="25">
        <v>25</v>
      </c>
    </row>
    <row r="173" spans="1:12" x14ac:dyDescent="0.2">
      <c r="A173" s="21">
        <v>50</v>
      </c>
      <c r="B173" s="22">
        <v>60336330.482262447</v>
      </c>
      <c r="C173" s="23">
        <v>24.63080684596526</v>
      </c>
      <c r="D173" s="23">
        <v>1486031761.9029324</v>
      </c>
      <c r="E173" s="23">
        <v>100739.99999999792</v>
      </c>
      <c r="F173" s="23">
        <v>4.3302441846007969E-18</v>
      </c>
      <c r="G173" s="24">
        <v>1422</v>
      </c>
      <c r="H173" s="11">
        <v>50000</v>
      </c>
      <c r="I173" s="4">
        <v>1.0000000000000001E-9</v>
      </c>
      <c r="J173" s="4">
        <v>1</v>
      </c>
      <c r="K173" s="24">
        <f t="shared" si="6"/>
        <v>60336329.482261494</v>
      </c>
      <c r="L173" s="25">
        <v>25.5</v>
      </c>
    </row>
    <row r="174" spans="1:12" x14ac:dyDescent="0.2">
      <c r="A174" s="21">
        <v>51</v>
      </c>
      <c r="B174" s="22">
        <v>60336330.482262328</v>
      </c>
      <c r="C174" s="23">
        <v>24.63080684596526</v>
      </c>
      <c r="D174" s="23">
        <v>1486031761.9029293</v>
      </c>
      <c r="E174" s="23">
        <v>100739.99999999792</v>
      </c>
      <c r="F174" s="23">
        <v>4.3302441846007969E-18</v>
      </c>
      <c r="G174" s="24">
        <v>1415</v>
      </c>
      <c r="H174" s="11">
        <v>50000</v>
      </c>
      <c r="I174" s="4">
        <v>1.0000000000000001E-9</v>
      </c>
      <c r="J174" s="4">
        <v>1</v>
      </c>
      <c r="K174" s="24">
        <f t="shared" si="6"/>
        <v>60336329.482261494</v>
      </c>
      <c r="L174" s="25">
        <v>26</v>
      </c>
    </row>
    <row r="175" spans="1:12" x14ac:dyDescent="0.2">
      <c r="A175" s="21">
        <v>52</v>
      </c>
      <c r="B175" s="36">
        <v>60336330.482260346</v>
      </c>
      <c r="C175" s="37">
        <v>24.630806845968234</v>
      </c>
      <c r="D175" s="37">
        <v>1486031761.90306</v>
      </c>
      <c r="E175" s="37">
        <v>100740.00000001007</v>
      </c>
      <c r="F175" s="37">
        <v>1.0140339631349582E-16</v>
      </c>
      <c r="G175" s="38">
        <v>1447</v>
      </c>
      <c r="H175" s="11">
        <v>50000</v>
      </c>
      <c r="I175" s="4">
        <v>1.0000000000000001E-9</v>
      </c>
      <c r="J175" s="4">
        <v>1</v>
      </c>
      <c r="K175" s="24">
        <f t="shared" si="6"/>
        <v>60336329.482261494</v>
      </c>
      <c r="L175" s="25">
        <v>26.5</v>
      </c>
    </row>
    <row r="176" spans="1:12" x14ac:dyDescent="0.2">
      <c r="A176" s="21">
        <v>53</v>
      </c>
      <c r="B176" s="22">
        <v>60336330.482258834</v>
      </c>
      <c r="C176" s="23">
        <v>24.630806845970159</v>
      </c>
      <c r="D176" s="23">
        <v>1486031761.9031389</v>
      </c>
      <c r="E176" s="23">
        <v>100740.00000001796</v>
      </c>
      <c r="F176" s="23">
        <v>3.2245612565729234E-16</v>
      </c>
      <c r="G176" s="24">
        <v>1457</v>
      </c>
      <c r="H176" s="11">
        <v>50000</v>
      </c>
      <c r="I176" s="4">
        <v>1.0000000000000001E-9</v>
      </c>
      <c r="J176" s="4">
        <v>1</v>
      </c>
      <c r="K176" s="24">
        <f t="shared" si="6"/>
        <v>60336329.482261494</v>
      </c>
      <c r="L176" s="25">
        <v>27</v>
      </c>
    </row>
    <row r="177" spans="1:12" x14ac:dyDescent="0.2">
      <c r="A177" s="21">
        <v>54</v>
      </c>
      <c r="B177" s="36">
        <v>60336330.482257515</v>
      </c>
      <c r="C177" s="37">
        <v>24.630806845971907</v>
      </c>
      <c r="D177" s="37">
        <v>1486031761.9032118</v>
      </c>
      <c r="E177" s="37">
        <v>100740.0000000251</v>
      </c>
      <c r="F177" s="37">
        <v>6.3011310341839436E-16</v>
      </c>
      <c r="G177" s="38">
        <v>1416</v>
      </c>
      <c r="H177" s="11">
        <v>50000</v>
      </c>
      <c r="I177" s="4">
        <v>1.0000000000000001E-9</v>
      </c>
      <c r="J177" s="4">
        <v>1</v>
      </c>
      <c r="K177" s="24">
        <f t="shared" si="6"/>
        <v>60336329.482261494</v>
      </c>
      <c r="L177" s="25">
        <v>27.5</v>
      </c>
    </row>
    <row r="178" spans="1:12" x14ac:dyDescent="0.2">
      <c r="A178" s="21">
        <v>55</v>
      </c>
      <c r="B178" s="22">
        <v>60336330.482259028</v>
      </c>
      <c r="C178" s="23">
        <v>24.630806845969811</v>
      </c>
      <c r="D178" s="23">
        <v>1486031761.9031227</v>
      </c>
      <c r="E178" s="23">
        <v>100740.00000001653</v>
      </c>
      <c r="F178" s="23">
        <v>2.7327315757497139E-16</v>
      </c>
      <c r="G178" s="24">
        <v>1457</v>
      </c>
      <c r="H178" s="11">
        <v>50000</v>
      </c>
      <c r="I178" s="4">
        <v>1.0000000000000001E-9</v>
      </c>
      <c r="J178" s="4">
        <v>1</v>
      </c>
      <c r="K178" s="24">
        <f t="shared" si="6"/>
        <v>60336329.482261494</v>
      </c>
      <c r="L178" s="25">
        <v>28</v>
      </c>
    </row>
    <row r="179" spans="1:12" x14ac:dyDescent="0.2">
      <c r="A179" s="21">
        <v>56</v>
      </c>
      <c r="B179" s="36">
        <v>60336330.482259899</v>
      </c>
      <c r="C179" s="37">
        <v>24.63080684596876</v>
      </c>
      <c r="D179" s="37">
        <v>1486031761.9030807</v>
      </c>
      <c r="E179" s="37">
        <v>100740.00000001222</v>
      </c>
      <c r="F179" s="37">
        <v>1.4941661189565858E-16</v>
      </c>
      <c r="G179" s="38">
        <v>1421</v>
      </c>
      <c r="H179" s="11">
        <v>50000</v>
      </c>
      <c r="I179" s="4">
        <v>1.0000000000000001E-9</v>
      </c>
      <c r="J179" s="4">
        <v>1</v>
      </c>
      <c r="K179" s="24">
        <f t="shared" si="6"/>
        <v>60336329.482261494</v>
      </c>
      <c r="L179" s="25">
        <v>28.5</v>
      </c>
    </row>
    <row r="180" spans="1:12" x14ac:dyDescent="0.2">
      <c r="A180" s="21">
        <v>57</v>
      </c>
      <c r="B180" s="22">
        <v>60336330.482259884</v>
      </c>
      <c r="C180" s="23">
        <v>24.63080684596876</v>
      </c>
      <c r="D180" s="23">
        <v>1486031761.9030802</v>
      </c>
      <c r="E180" s="23">
        <v>100740.00000001222</v>
      </c>
      <c r="F180" s="23">
        <v>1.4941661189565858E-16</v>
      </c>
      <c r="G180" s="24">
        <v>1441</v>
      </c>
      <c r="H180" s="11">
        <v>50000</v>
      </c>
      <c r="I180" s="4">
        <v>1.0000000000000001E-9</v>
      </c>
      <c r="J180" s="4">
        <v>1</v>
      </c>
      <c r="K180" s="24">
        <f t="shared" si="6"/>
        <v>60336329.482261494</v>
      </c>
      <c r="L180" s="25">
        <v>29</v>
      </c>
    </row>
    <row r="181" spans="1:12" x14ac:dyDescent="0.2">
      <c r="A181" s="21">
        <v>58</v>
      </c>
      <c r="B181" s="36">
        <v>60336330.482259847</v>
      </c>
      <c r="C181" s="37">
        <v>24.63080684596876</v>
      </c>
      <c r="D181" s="37">
        <v>1486031761.9030793</v>
      </c>
      <c r="E181" s="37">
        <v>100740.00000001222</v>
      </c>
      <c r="F181" s="37">
        <v>1.4941661189565858E-16</v>
      </c>
      <c r="G181" s="38">
        <v>1430</v>
      </c>
      <c r="H181" s="11">
        <v>50000</v>
      </c>
      <c r="I181" s="4">
        <v>1.0000000000000001E-9</v>
      </c>
      <c r="J181" s="4">
        <v>1</v>
      </c>
      <c r="K181" s="24">
        <f t="shared" si="6"/>
        <v>60336329.482261494</v>
      </c>
      <c r="L181" s="25">
        <v>29.5</v>
      </c>
    </row>
    <row r="182" spans="1:12" ht="13.5" thickBot="1" x14ac:dyDescent="0.25">
      <c r="A182" s="29">
        <v>59</v>
      </c>
      <c r="B182" s="30">
        <v>60336330.482259192</v>
      </c>
      <c r="C182" s="31">
        <v>24.630806845969634</v>
      </c>
      <c r="D182" s="31">
        <v>1486031761.903116</v>
      </c>
      <c r="E182" s="31">
        <v>100740.0000000158</v>
      </c>
      <c r="F182" s="31">
        <v>2.497468174649832E-16</v>
      </c>
      <c r="G182" s="32">
        <v>1442</v>
      </c>
      <c r="H182" s="44">
        <v>50000</v>
      </c>
      <c r="I182" s="5">
        <v>1.0000000000000001E-9</v>
      </c>
      <c r="J182" s="5">
        <v>1</v>
      </c>
      <c r="K182" s="32">
        <f t="shared" si="6"/>
        <v>60336329.482261494</v>
      </c>
      <c r="L182" s="33">
        <v>30</v>
      </c>
    </row>
  </sheetData>
  <phoneticPr fontId="2" type="noConversion"/>
  <conditionalFormatting sqref="B12:G12 B19:G19">
    <cfRule type="expression" dxfId="1" priority="1" stopIfTrue="1">
      <formula>$A$6=0</formula>
    </cfRule>
    <cfRule type="expression" dxfId="0" priority="2" stopIfTrue="1">
      <formula>$H$7="Решение найдено"</formula>
    </cfRule>
  </conditionalFormatting>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sheet1</vt:lpstr>
      <vt:lpstr>FindingMax</vt:lpstr>
      <vt:lpstr>FindingMin</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№6</dc:title>
  <dc:subject>Методы оптимизации</dc:subject>
  <dc:creator>ten_IG</dc:creator>
  <dc:description>18.09.2009 Start "Automatic Scanning the List of Sigma Values"</dc:description>
  <cp:lastModifiedBy>boss-312@mail.ru</cp:lastModifiedBy>
  <cp:lastPrinted>2002-03-12T06:46:00Z</cp:lastPrinted>
  <dcterms:created xsi:type="dcterms:W3CDTF">2002-01-25T11:06:38Z</dcterms:created>
  <dcterms:modified xsi:type="dcterms:W3CDTF">2023-10-17T08:13:10Z</dcterms:modified>
  <cp:category>ПОВТ-00, ФИТ-1-00</cp:category>
</cp:coreProperties>
</file>